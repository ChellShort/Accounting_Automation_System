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ccounting_Automation_System\resources\reports\"/>
    </mc:Choice>
  </mc:AlternateContent>
  <bookViews>
    <workbookView xWindow="0" yWindow="0" windowWidth="28800" windowHeight="12315" tabRatio="854"/>
  </bookViews>
  <sheets>
    <sheet name="Cotizacion" sheetId="41" r:id="rId1"/>
    <sheet name="MAT" sheetId="40" r:id="rId2"/>
    <sheet name="M0" sheetId="39" r:id="rId3"/>
    <sheet name="MAT (2)" sheetId="42" r:id="rId4"/>
  </sheets>
  <definedNames>
    <definedName name="_xlnm.Print_Area" localSheetId="0">Cotizacion!$A$1:$F$36</definedName>
    <definedName name="_xlnm.Print_Area" localSheetId="2">M0!$A$1:$X$100</definedName>
    <definedName name="_xlnm.Print_Area" localSheetId="1">MAT!$A$1:$X$124</definedName>
    <definedName name="_xlnm.Print_Area" localSheetId="3">'MAT (2)'!$A$1:$X$124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3" i="42" l="1"/>
  <c r="B114" i="42"/>
  <c r="H112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110" i="42" s="1"/>
  <c r="H97" i="42"/>
  <c r="H96" i="42"/>
  <c r="H95" i="42"/>
  <c r="H94" i="42"/>
  <c r="H93" i="42"/>
  <c r="H92" i="42"/>
  <c r="H91" i="42"/>
  <c r="H90" i="42"/>
  <c r="H85" i="42"/>
  <c r="H86" i="42" s="1"/>
  <c r="H81" i="42"/>
  <c r="H82" i="42" s="1"/>
  <c r="H76" i="42"/>
  <c r="H75" i="42"/>
  <c r="H77" i="42" s="1"/>
  <c r="M71" i="42"/>
  <c r="F71" i="42"/>
  <c r="H71" i="42" s="1"/>
  <c r="M70" i="42"/>
  <c r="H70" i="42"/>
  <c r="M66" i="42"/>
  <c r="H66" i="42"/>
  <c r="M65" i="42"/>
  <c r="H65" i="42"/>
  <c r="M64" i="42"/>
  <c r="H64" i="42"/>
  <c r="M63" i="42"/>
  <c r="H63" i="42"/>
  <c r="M62" i="42"/>
  <c r="H62" i="42"/>
  <c r="M61" i="42"/>
  <c r="H61" i="42"/>
  <c r="H67" i="42" s="1"/>
  <c r="M60" i="42"/>
  <c r="H60" i="42"/>
  <c r="F54" i="42"/>
  <c r="V53" i="42"/>
  <c r="M53" i="42"/>
  <c r="N53" i="42" s="1"/>
  <c r="K53" i="42"/>
  <c r="J53" i="42"/>
  <c r="H53" i="42"/>
  <c r="V52" i="42"/>
  <c r="N52" i="42"/>
  <c r="K52" i="42"/>
  <c r="H52" i="42"/>
  <c r="V51" i="42"/>
  <c r="N51" i="42"/>
  <c r="K51" i="42"/>
  <c r="H51" i="42"/>
  <c r="V50" i="42"/>
  <c r="N50" i="42"/>
  <c r="K50" i="42"/>
  <c r="H50" i="42"/>
  <c r="V49" i="42"/>
  <c r="N49" i="42"/>
  <c r="K49" i="42"/>
  <c r="H49" i="42"/>
  <c r="V48" i="42"/>
  <c r="N48" i="42"/>
  <c r="K48" i="42"/>
  <c r="H48" i="42"/>
  <c r="N47" i="42"/>
  <c r="K47" i="42"/>
  <c r="H47" i="42"/>
  <c r="V46" i="42"/>
  <c r="N46" i="42"/>
  <c r="K46" i="42"/>
  <c r="H46" i="42"/>
  <c r="V45" i="42"/>
  <c r="N45" i="42"/>
  <c r="K45" i="42"/>
  <c r="H45" i="42"/>
  <c r="V44" i="42"/>
  <c r="N44" i="42"/>
  <c r="K44" i="42"/>
  <c r="H44" i="42"/>
  <c r="V43" i="42"/>
  <c r="N43" i="42"/>
  <c r="K43" i="42"/>
  <c r="H43" i="42"/>
  <c r="V42" i="42"/>
  <c r="N42" i="42"/>
  <c r="K42" i="42"/>
  <c r="H42" i="42"/>
  <c r="V41" i="42"/>
  <c r="N41" i="42"/>
  <c r="K41" i="42"/>
  <c r="H41" i="42"/>
  <c r="V40" i="42"/>
  <c r="N40" i="42"/>
  <c r="K40" i="42"/>
  <c r="H40" i="42"/>
  <c r="V39" i="42"/>
  <c r="N39" i="42"/>
  <c r="K39" i="42"/>
  <c r="H39" i="42"/>
  <c r="V38" i="42"/>
  <c r="N38" i="42"/>
  <c r="K38" i="42"/>
  <c r="H38" i="42"/>
  <c r="V37" i="42"/>
  <c r="N37" i="42"/>
  <c r="K37" i="42"/>
  <c r="H37" i="42"/>
  <c r="V36" i="42"/>
  <c r="N36" i="42"/>
  <c r="K36" i="42"/>
  <c r="H36" i="42"/>
  <c r="V35" i="42"/>
  <c r="N35" i="42"/>
  <c r="K35" i="42"/>
  <c r="H35" i="42"/>
  <c r="V34" i="42"/>
  <c r="N34" i="42"/>
  <c r="K34" i="42"/>
  <c r="H34" i="42"/>
  <c r="V33" i="42"/>
  <c r="N33" i="42"/>
  <c r="K33" i="42"/>
  <c r="H33" i="42"/>
  <c r="V32" i="42"/>
  <c r="N32" i="42"/>
  <c r="K32" i="42"/>
  <c r="H32" i="42"/>
  <c r="V31" i="42"/>
  <c r="N31" i="42"/>
  <c r="N54" i="42" s="1"/>
  <c r="K31" i="42"/>
  <c r="K54" i="42" s="1"/>
  <c r="H31" i="42"/>
  <c r="H54" i="42" s="1"/>
  <c r="H26" i="42"/>
  <c r="I26" i="42" s="1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27" i="42" s="1"/>
  <c r="K117" i="42" s="1"/>
  <c r="F44" i="39"/>
  <c r="V43" i="39"/>
  <c r="M43" i="39"/>
  <c r="N43" i="39" s="1"/>
  <c r="J43" i="39"/>
  <c r="K43" i="39" s="1"/>
  <c r="H43" i="39"/>
  <c r="V42" i="39"/>
  <c r="N42" i="39"/>
  <c r="K42" i="39"/>
  <c r="H42" i="39"/>
  <c r="V41" i="39"/>
  <c r="N41" i="39"/>
  <c r="K41" i="39"/>
  <c r="H41" i="39"/>
  <c r="V40" i="39"/>
  <c r="N40" i="39"/>
  <c r="K40" i="39"/>
  <c r="H40" i="39"/>
  <c r="V39" i="39"/>
  <c r="N39" i="39"/>
  <c r="K39" i="39"/>
  <c r="H39" i="39"/>
  <c r="V38" i="39"/>
  <c r="N38" i="39"/>
  <c r="K38" i="39"/>
  <c r="H38" i="39"/>
  <c r="N37" i="39"/>
  <c r="K37" i="39"/>
  <c r="H37" i="39"/>
  <c r="V36" i="39"/>
  <c r="N36" i="39"/>
  <c r="K36" i="39"/>
  <c r="H36" i="39"/>
  <c r="V35" i="39"/>
  <c r="N35" i="39"/>
  <c r="K35" i="39"/>
  <c r="H35" i="39"/>
  <c r="V34" i="39"/>
  <c r="N34" i="39"/>
  <c r="K34" i="39"/>
  <c r="H34" i="39"/>
  <c r="V33" i="39"/>
  <c r="N33" i="39"/>
  <c r="K33" i="39"/>
  <c r="H33" i="39"/>
  <c r="V32" i="39"/>
  <c r="N32" i="39"/>
  <c r="K32" i="39"/>
  <c r="H32" i="39"/>
  <c r="V31" i="39"/>
  <c r="N31" i="39"/>
  <c r="K31" i="39"/>
  <c r="H31" i="39"/>
  <c r="V30" i="39"/>
  <c r="N30" i="39"/>
  <c r="K30" i="39"/>
  <c r="H30" i="39"/>
  <c r="V29" i="39"/>
  <c r="N29" i="39"/>
  <c r="K29" i="39"/>
  <c r="H29" i="39"/>
  <c r="V28" i="39"/>
  <c r="N28" i="39"/>
  <c r="K28" i="39"/>
  <c r="H28" i="39"/>
  <c r="V27" i="39"/>
  <c r="N27" i="39"/>
  <c r="K27" i="39"/>
  <c r="H27" i="39"/>
  <c r="V26" i="39"/>
  <c r="N26" i="39"/>
  <c r="K26" i="39"/>
  <c r="H26" i="39"/>
  <c r="V25" i="39"/>
  <c r="N25" i="39"/>
  <c r="K25" i="39"/>
  <c r="H25" i="39"/>
  <c r="V24" i="39"/>
  <c r="N24" i="39"/>
  <c r="K24" i="39"/>
  <c r="H24" i="39"/>
  <c r="V23" i="39"/>
  <c r="N23" i="39"/>
  <c r="K23" i="39"/>
  <c r="H23" i="39"/>
  <c r="V22" i="39"/>
  <c r="N22" i="39"/>
  <c r="K22" i="39"/>
  <c r="H22" i="39"/>
  <c r="V21" i="39"/>
  <c r="N21" i="39"/>
  <c r="K21" i="39"/>
  <c r="H21" i="39"/>
  <c r="B114" i="40"/>
  <c r="D123" i="40"/>
  <c r="N47" i="40"/>
  <c r="K47" i="40"/>
  <c r="H47" i="40"/>
  <c r="N52" i="40"/>
  <c r="N51" i="40"/>
  <c r="N50" i="40"/>
  <c r="N49" i="40"/>
  <c r="N48" i="40"/>
  <c r="N46" i="40"/>
  <c r="N45" i="40"/>
  <c r="N44" i="40"/>
  <c r="N43" i="40"/>
  <c r="N42" i="40"/>
  <c r="N41" i="40"/>
  <c r="N40" i="40"/>
  <c r="N39" i="40"/>
  <c r="N38" i="40"/>
  <c r="N37" i="40"/>
  <c r="N36" i="40"/>
  <c r="N35" i="40"/>
  <c r="N34" i="40"/>
  <c r="N33" i="40"/>
  <c r="N32" i="40"/>
  <c r="K52" i="40"/>
  <c r="K51" i="40"/>
  <c r="K50" i="40"/>
  <c r="K49" i="40"/>
  <c r="K48" i="40"/>
  <c r="K46" i="40"/>
  <c r="K45" i="40"/>
  <c r="K44" i="40"/>
  <c r="K43" i="40"/>
  <c r="K42" i="40"/>
  <c r="K41" i="40"/>
  <c r="K40" i="40"/>
  <c r="K39" i="40"/>
  <c r="K38" i="40"/>
  <c r="K37" i="40"/>
  <c r="K36" i="40"/>
  <c r="K35" i="40"/>
  <c r="K34" i="40"/>
  <c r="K33" i="40"/>
  <c r="K32" i="40"/>
  <c r="H35" i="40"/>
  <c r="H43" i="40"/>
  <c r="H51" i="40"/>
  <c r="H50" i="40"/>
  <c r="H49" i="40"/>
  <c r="H45" i="40"/>
  <c r="H42" i="40"/>
  <c r="H31" i="40"/>
  <c r="K31" i="40"/>
  <c r="N31" i="40"/>
  <c r="V31" i="40"/>
  <c r="H38" i="40"/>
  <c r="H39" i="40"/>
  <c r="H40" i="40"/>
  <c r="H72" i="42" l="1"/>
  <c r="H55" i="42"/>
  <c r="H44" i="39"/>
  <c r="K44" i="39"/>
  <c r="N44" i="39"/>
  <c r="H14" i="40"/>
  <c r="H15" i="40"/>
  <c r="H16" i="40"/>
  <c r="H17" i="40"/>
  <c r="K118" i="42" l="1"/>
  <c r="H56" i="42"/>
  <c r="H87" i="42" s="1"/>
  <c r="H45" i="39"/>
  <c r="H84" i="39"/>
  <c r="H82" i="39"/>
  <c r="H83" i="39"/>
  <c r="H81" i="39"/>
  <c r="H113" i="42" l="1"/>
  <c r="H57" i="42"/>
  <c r="K119" i="42" s="1"/>
  <c r="K120" i="42" s="1"/>
  <c r="H46" i="39"/>
  <c r="H59" i="39" s="1"/>
  <c r="H10" i="40"/>
  <c r="H11" i="40"/>
  <c r="H12" i="40"/>
  <c r="H13" i="40"/>
  <c r="H18" i="40"/>
  <c r="H19" i="40"/>
  <c r="H112" i="40"/>
  <c r="H109" i="40"/>
  <c r="H108" i="40"/>
  <c r="H107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5" i="40"/>
  <c r="H86" i="40" s="1"/>
  <c r="H81" i="40"/>
  <c r="H82" i="40" s="1"/>
  <c r="H76" i="40"/>
  <c r="H75" i="40"/>
  <c r="M71" i="40"/>
  <c r="H71" i="40" s="1"/>
  <c r="M70" i="40"/>
  <c r="H70" i="40"/>
  <c r="M66" i="40"/>
  <c r="H66" i="40"/>
  <c r="M65" i="40"/>
  <c r="H65" i="40"/>
  <c r="M64" i="40"/>
  <c r="H64" i="40"/>
  <c r="M63" i="40"/>
  <c r="H63" i="40"/>
  <c r="M62" i="40"/>
  <c r="H62" i="40"/>
  <c r="M61" i="40"/>
  <c r="H61" i="40"/>
  <c r="M60" i="40"/>
  <c r="H60" i="40"/>
  <c r="F54" i="40"/>
  <c r="V53" i="40"/>
  <c r="M53" i="40"/>
  <c r="N53" i="40" s="1"/>
  <c r="J53" i="40"/>
  <c r="K53" i="40" s="1"/>
  <c r="H53" i="40"/>
  <c r="V52" i="40"/>
  <c r="H52" i="40"/>
  <c r="V51" i="40"/>
  <c r="V50" i="40"/>
  <c r="V49" i="40"/>
  <c r="V48" i="40"/>
  <c r="H48" i="40"/>
  <c r="V46" i="40"/>
  <c r="H46" i="40"/>
  <c r="V45" i="40"/>
  <c r="V44" i="40"/>
  <c r="H44" i="40"/>
  <c r="V43" i="40"/>
  <c r="V42" i="40"/>
  <c r="V41" i="40"/>
  <c r="H41" i="40"/>
  <c r="V40" i="40"/>
  <c r="V39" i="40"/>
  <c r="V38" i="40"/>
  <c r="V37" i="40"/>
  <c r="H37" i="40"/>
  <c r="V36" i="40"/>
  <c r="H36" i="40"/>
  <c r="V35" i="40"/>
  <c r="V34" i="40"/>
  <c r="H34" i="40"/>
  <c r="V33" i="40"/>
  <c r="H33" i="40"/>
  <c r="V32" i="40"/>
  <c r="H32" i="40"/>
  <c r="H26" i="40"/>
  <c r="I26" i="40" s="1"/>
  <c r="H25" i="40"/>
  <c r="H24" i="40"/>
  <c r="H23" i="40"/>
  <c r="H22" i="40"/>
  <c r="H21" i="40"/>
  <c r="H20" i="40"/>
  <c r="H9" i="40"/>
  <c r="M55" i="39"/>
  <c r="M56" i="39"/>
  <c r="M57" i="39"/>
  <c r="H10" i="39"/>
  <c r="H11" i="39"/>
  <c r="H12" i="39"/>
  <c r="H13" i="39"/>
  <c r="H14" i="39"/>
  <c r="H15" i="39"/>
  <c r="H16" i="39"/>
  <c r="I16" i="39" s="1"/>
  <c r="H9" i="39"/>
  <c r="D99" i="39"/>
  <c r="H88" i="39"/>
  <c r="H85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57" i="39"/>
  <c r="H56" i="39"/>
  <c r="H55" i="39"/>
  <c r="M54" i="39"/>
  <c r="H54" i="39"/>
  <c r="M53" i="39"/>
  <c r="H53" i="39"/>
  <c r="M52" i="39"/>
  <c r="H52" i="39"/>
  <c r="M51" i="39"/>
  <c r="H51" i="39"/>
  <c r="H114" i="42" l="1"/>
  <c r="H77" i="40"/>
  <c r="N54" i="40"/>
  <c r="K54" i="40"/>
  <c r="H72" i="40"/>
  <c r="H54" i="40"/>
  <c r="H67" i="40"/>
  <c r="H110" i="40"/>
  <c r="H27" i="40"/>
  <c r="K117" i="40" s="1"/>
  <c r="H86" i="39"/>
  <c r="H58" i="39"/>
  <c r="H17" i="39"/>
  <c r="K93" i="39" s="1"/>
  <c r="H115" i="42" l="1"/>
  <c r="H55" i="40"/>
  <c r="H56" i="40" s="1"/>
  <c r="H87" i="40" s="1"/>
  <c r="H116" i="42" l="1"/>
  <c r="H117" i="42" s="1"/>
  <c r="K118" i="40"/>
  <c r="H57" i="40"/>
  <c r="K119" i="40" s="1"/>
  <c r="H113" i="40"/>
  <c r="H114" i="40" s="1"/>
  <c r="H115" i="40" s="1"/>
  <c r="K94" i="39"/>
  <c r="H118" i="42" l="1"/>
  <c r="H119" i="42" s="1"/>
  <c r="K120" i="40"/>
  <c r="H89" i="39"/>
  <c r="K95" i="39"/>
  <c r="K96" i="39" s="1"/>
  <c r="J121" i="42" l="1"/>
  <c r="H121" i="42"/>
  <c r="I114" i="42" s="1"/>
  <c r="L120" i="42"/>
  <c r="M120" i="42" s="1"/>
  <c r="J114" i="42" s="1"/>
  <c r="H116" i="40"/>
  <c r="H117" i="40" s="1"/>
  <c r="H90" i="39"/>
  <c r="H91" i="39" s="1"/>
  <c r="H118" i="40" l="1"/>
  <c r="H119" i="40" s="1"/>
  <c r="J121" i="40" s="1"/>
  <c r="H92" i="39"/>
  <c r="H93" i="39" s="1"/>
  <c r="H121" i="40" l="1"/>
  <c r="L120" i="40"/>
  <c r="M120" i="40" s="1"/>
  <c r="H94" i="39"/>
  <c r="H95" i="39" s="1"/>
  <c r="H96" i="39" l="1"/>
  <c r="H97" i="39" s="1"/>
  <c r="E18" i="41" s="1"/>
  <c r="F18" i="41" s="1"/>
  <c r="F19" i="41" s="1"/>
  <c r="I114" i="40"/>
  <c r="J114" i="40"/>
  <c r="L96" i="39"/>
  <c r="M96" i="39" s="1"/>
  <c r="J97" i="39"/>
  <c r="I90" i="39" l="1"/>
  <c r="J90" i="39"/>
</calcChain>
</file>

<file path=xl/sharedStrings.xml><?xml version="1.0" encoding="utf-8"?>
<sst xmlns="http://schemas.openxmlformats.org/spreadsheetml/2006/main" count="760" uniqueCount="190">
  <si>
    <t>IMPORTE</t>
  </si>
  <si>
    <t>I M M E E   S. A.  D E  C. V.</t>
  </si>
  <si>
    <t xml:space="preserve">A N A L I S I S   D E   P R E C I O   U N I T A R I O </t>
  </si>
  <si>
    <t>COTIZACION:</t>
  </si>
  <si>
    <t xml:space="preserve">FECHA: </t>
  </si>
  <si>
    <t>PARTIDA 1</t>
  </si>
  <si>
    <t>MATERIALES.</t>
  </si>
  <si>
    <t>DESCRIPCION</t>
  </si>
  <si>
    <t xml:space="preserve">UNIDAD </t>
  </si>
  <si>
    <t>CANT.</t>
  </si>
  <si>
    <t>P.U.</t>
  </si>
  <si>
    <t>Pza</t>
  </si>
  <si>
    <t>SUBT 1</t>
  </si>
  <si>
    <t xml:space="preserve">MANO DE OBRA SIN INDIRECTOS </t>
  </si>
  <si>
    <t>HORARIOS DE TRABAJO</t>
  </si>
  <si>
    <t>HORAS RESULTANTES</t>
  </si>
  <si>
    <t>PERSONAL.</t>
  </si>
  <si>
    <t>Hr. Extra</t>
  </si>
  <si>
    <t>L</t>
  </si>
  <si>
    <t>M</t>
  </si>
  <si>
    <t>MI</t>
  </si>
  <si>
    <t>J</t>
  </si>
  <si>
    <t>V</t>
  </si>
  <si>
    <t>S</t>
  </si>
  <si>
    <t>D</t>
  </si>
  <si>
    <t>N</t>
  </si>
  <si>
    <t>T</t>
  </si>
  <si>
    <t>COORDINADOR DE OPERACIONES</t>
  </si>
  <si>
    <t>hr</t>
  </si>
  <si>
    <t xml:space="preserve">INGENIERIA Y SOPORTE TEC. </t>
  </si>
  <si>
    <t>SUPERVISOR DE SEGURIDAD CERTIFICADO</t>
  </si>
  <si>
    <t>SUPERVISOR ELECTRICO</t>
  </si>
  <si>
    <t>TECNICO DE PRUEBAS ELECTRICAS</t>
  </si>
  <si>
    <t>CABO OBRA ELECTRICA</t>
  </si>
  <si>
    <t>LINIERO</t>
  </si>
  <si>
    <t>TECNICO EN INSTRUMENTACION</t>
  </si>
  <si>
    <t>ASISTENTE DE DISEÑO</t>
  </si>
  <si>
    <t>ELECTRICISTA -B</t>
  </si>
  <si>
    <t>ELECTRICISTA -A</t>
  </si>
  <si>
    <t>AUXILIAR TECNICO</t>
  </si>
  <si>
    <t>AYTE ELECTRICO - B</t>
  </si>
  <si>
    <t>AYTE DE ELECTR.  -A</t>
  </si>
  <si>
    <t>AYTE GENERAL</t>
  </si>
  <si>
    <t>INGENIERO DE SUBESTACIONES</t>
  </si>
  <si>
    <t>INGENIERO DE PRUEBAS ELECTRICAS</t>
  </si>
  <si>
    <t>ING. ESPECIALISTA EN PROTECCIONES</t>
  </si>
  <si>
    <t>SUPERINTENDENTE</t>
  </si>
  <si>
    <t>SUBT 2</t>
  </si>
  <si>
    <t>SUBT.</t>
  </si>
  <si>
    <t>SUMA M.O.</t>
  </si>
  <si>
    <t xml:space="preserve">HERRAMIENTA MENOR </t>
  </si>
  <si>
    <t>1 a 10%</t>
  </si>
  <si>
    <t xml:space="preserve">VEHICULOS </t>
  </si>
  <si>
    <t>HR IDA</t>
  </si>
  <si>
    <t>HR RETORNO</t>
  </si>
  <si>
    <t>HR SITIO</t>
  </si>
  <si>
    <t>SUMA</t>
  </si>
  <si>
    <t>HR</t>
  </si>
  <si>
    <t>camioneta TORNADO  Tornado sin operador sin combustible</t>
  </si>
  <si>
    <t>pza</t>
  </si>
  <si>
    <t>Km. Recorrido (incluye conbustible y depresiación de Vehiculo</t>
  </si>
  <si>
    <t>KM</t>
  </si>
  <si>
    <t>SUBT 4</t>
  </si>
  <si>
    <t>COMBUSTIBLE</t>
  </si>
  <si>
    <t>KM IDA</t>
  </si>
  <si>
    <t>KM RETORNO</t>
  </si>
  <si>
    <t>KM SITIO</t>
  </si>
  <si>
    <t>GASOLINA MAGNA</t>
  </si>
  <si>
    <t>LT</t>
  </si>
  <si>
    <t>DIESEL</t>
  </si>
  <si>
    <t>SUBT 5</t>
  </si>
  <si>
    <t>CASETAS</t>
  </si>
  <si>
    <t xml:space="preserve">camioneta pick up </t>
  </si>
  <si>
    <t>CASETA</t>
  </si>
  <si>
    <t>camioneta pick up</t>
  </si>
  <si>
    <t>SUBT 6</t>
  </si>
  <si>
    <t>VIATICOS</t>
  </si>
  <si>
    <t>ALIMENTOS</t>
  </si>
  <si>
    <t>CONSUMO DE ALIMENTOS</t>
  </si>
  <si>
    <t>HOSPEDAJE</t>
  </si>
  <si>
    <t xml:space="preserve">HOTEL </t>
  </si>
  <si>
    <t>NOCHES</t>
  </si>
  <si>
    <t>SUBT 8</t>
  </si>
  <si>
    <t>SUMA:</t>
  </si>
  <si>
    <t xml:space="preserve">EQUIPO DE PRUEBA </t>
  </si>
  <si>
    <t>TR</t>
  </si>
  <si>
    <t>S.E</t>
  </si>
  <si>
    <t>Megger</t>
  </si>
  <si>
    <t>jr</t>
  </si>
  <si>
    <t>TTR</t>
  </si>
  <si>
    <t>Factor de Potencia de 2.5 KV</t>
  </si>
  <si>
    <t>Factor de Potencia de 10.5 KV</t>
  </si>
  <si>
    <t>Ducter</t>
  </si>
  <si>
    <t>resistencia óhmica</t>
  </si>
  <si>
    <t>hipot de 80 KV vcd</t>
  </si>
  <si>
    <t>Rigidez dieléctrica al aceite 60 kv</t>
  </si>
  <si>
    <t>Terrómetro</t>
  </si>
  <si>
    <t>Analizador de tiempos de interruptor</t>
  </si>
  <si>
    <t>Fuente de corriente para calibrador de relevadores</t>
  </si>
  <si>
    <t>Probador de relevador de Protecciones</t>
  </si>
  <si>
    <t>Fuente trifasica de voltaje</t>
  </si>
  <si>
    <t>Analizador de energía trifásica</t>
  </si>
  <si>
    <t>Medidor de presión y llenado de gas SF6</t>
  </si>
  <si>
    <t>Medidor de secuencia de fases</t>
  </si>
  <si>
    <t>Unidad de Pba y config. Para relevadores de Int. ABB</t>
  </si>
  <si>
    <t>Máquina centrifugadora de aceite</t>
  </si>
  <si>
    <t>Luxómetro</t>
  </si>
  <si>
    <t>Generador de Luz con combustible</t>
  </si>
  <si>
    <t>SUBT 9</t>
  </si>
  <si>
    <t>INDIRECTO DISPONIBLE</t>
  </si>
  <si>
    <t>COSTO DIRECTO</t>
  </si>
  <si>
    <t>Indirectos</t>
  </si>
  <si>
    <t>Subtotal 1</t>
  </si>
  <si>
    <t>BASE IMPUESTO</t>
  </si>
  <si>
    <t>Financ.</t>
  </si>
  <si>
    <t>COMPRAS</t>
  </si>
  <si>
    <t>Subtotal 2</t>
  </si>
  <si>
    <t>M.O</t>
  </si>
  <si>
    <t xml:space="preserve">Utilidad </t>
  </si>
  <si>
    <t>GASTOS FACTURADOS</t>
  </si>
  <si>
    <t>Importe</t>
  </si>
  <si>
    <t xml:space="preserve">FACTOR </t>
  </si>
  <si>
    <t>utilidad</t>
  </si>
  <si>
    <t>ime</t>
  </si>
  <si>
    <t>comisión</t>
  </si>
  <si>
    <t>total</t>
  </si>
  <si>
    <t>Materiales</t>
  </si>
  <si>
    <t>Total</t>
  </si>
  <si>
    <t>IMP. 30%</t>
  </si>
  <si>
    <t xml:space="preserve">ESPECIALISTA DE MANTTO  ELECTRICO </t>
  </si>
  <si>
    <t>OFICIAL ELECTRICO/ELECTROMECANICO</t>
  </si>
  <si>
    <t>IMPUESTO</t>
  </si>
  <si>
    <t>SIN UTILIDAD</t>
  </si>
  <si>
    <t>REV-06-feb-2021</t>
  </si>
  <si>
    <t>camioneta EXPRES VAN CARGO sin operador sin combustible</t>
  </si>
  <si>
    <t>camioneta RANGER  sin operador sin combustible</t>
  </si>
  <si>
    <t>camioneta WV TRANSPORTER pasajeros</t>
  </si>
  <si>
    <t>MANO DE OBRA</t>
  </si>
  <si>
    <t>MATERIALES</t>
  </si>
  <si>
    <t>Felipe Ángeles 11-5, Col. Centro</t>
  </si>
  <si>
    <t>C. P. 42800, Tula de Allende, Hgo.</t>
  </si>
  <si>
    <t>www.immee.com.mx</t>
  </si>
  <si>
    <t xml:space="preserve">                                 Apoyando el consumo inteligente de energía eléctrica </t>
  </si>
  <si>
    <t>Presente</t>
  </si>
  <si>
    <t>No.</t>
  </si>
  <si>
    <t>CONCEPTO</t>
  </si>
  <si>
    <t>UNIDIDAD</t>
  </si>
  <si>
    <t>CANTIDAD</t>
  </si>
  <si>
    <t>P.U</t>
  </si>
  <si>
    <t xml:space="preserve">SUBTOTAL: </t>
  </si>
  <si>
    <t>CONDICIONES TÉCNICO-COMERCIALES:</t>
  </si>
  <si>
    <t>3.- Al importe se le aplicará el impuesto IVA al facturar.</t>
  </si>
  <si>
    <t>4.- Vigencia de la cotización: 30 dias del calendario.</t>
  </si>
  <si>
    <t>5.- Precios en moneda nacional.</t>
  </si>
  <si>
    <t>Atentamente:</t>
  </si>
  <si>
    <t>Ing. José Esteban Garcia Monrroy.</t>
  </si>
  <si>
    <t>Gerencia Técnica.</t>
  </si>
  <si>
    <t>VLF</t>
  </si>
  <si>
    <t>Camara termografica</t>
  </si>
  <si>
    <t>Test Kit maleta de prueba G.E.</t>
  </si>
  <si>
    <t>Analizador de energía trifásica METREL</t>
  </si>
  <si>
    <t>Oficina +52 1 (773) 7240055</t>
  </si>
  <si>
    <t>PERSONAL PEOPUESTO</t>
  </si>
  <si>
    <t>NOTA:  CONSIDERAR LA JORNADA DE 8.0 HORAS, AUNQUE EN IMMEE SE TRABAJE JORNADA LARGA CONVENIDA, Y DOMINGO DESCANSO</t>
  </si>
  <si>
    <t>HORA NORMAL</t>
  </si>
  <si>
    <t>Dom, ó Fest.TRIPLE</t>
  </si>
  <si>
    <t>ADRIAN</t>
  </si>
  <si>
    <t>HECTOR</t>
  </si>
  <si>
    <t xml:space="preserve">SUPERVISOR DE SEGURIDAD </t>
  </si>
  <si>
    <t>JOSE J</t>
  </si>
  <si>
    <t>OSCAR-OSWALDO JIM</t>
  </si>
  <si>
    <t>GERMAN</t>
  </si>
  <si>
    <t>URIEL-GUILLERMO-ENRIQUE</t>
  </si>
  <si>
    <t>OSWALDO Z-GABRIEL</t>
  </si>
  <si>
    <t>PROFESIONISTA</t>
  </si>
  <si>
    <t>O.ZARCO-GABRIEL</t>
  </si>
  <si>
    <t>REV-01-ENE-2024</t>
  </si>
  <si>
    <t>IMMEE</t>
  </si>
  <si>
    <t>13% IND   15% IMPTO</t>
  </si>
  <si>
    <t>2.- Condiciones economicas: 100% contra entrega de trabajo.</t>
  </si>
  <si>
    <t>serv.</t>
  </si>
  <si>
    <t xml:space="preserve">renta de grua </t>
  </si>
  <si>
    <t xml:space="preserve">SYMATEC SA DE CV </t>
  </si>
  <si>
    <t>COT. IMM-034-2025</t>
  </si>
  <si>
    <t xml:space="preserve">CAMION </t>
  </si>
  <si>
    <t>Maniobras de traslado de un remolque con una maquina de tratamiento de aceite dielectrico  Tula de Allende a  Zimapan casa de maquinas (CFE)  y depues apoyar con maniobras de acomodo de equipo en almacen de la misma entidad durante 4 jornadas ( Martes, miercoles, jueves) con la grua articulada de 6 toneladas, con el operador y un maniobrista reacomodo de refacciones realizando cambio de cajas de embalaje  que se encontraban en patio de maniobras y se colocan en el interior de almacen con el apoyo de grua y maniobra 
se hace el retiro de con el apoyo de grua de la madera y enbalaje en mal estado para colocarlo en patio de casas moviles 
En planta se reacomoda un recipiente con aceite, y se hace maniobra para cargar en camion grua la maquina de tratamiento de aceite para su traslado a la Cd de Tula saliendo de casa de Maquinas a las 12:00 horas y llegado 18:00 horas   teminando con esto el servicio el jueves 30 de Enero 2025</t>
  </si>
  <si>
    <t xml:space="preserve">1.- Plazo de ejecución: 4  jornadas </t>
  </si>
  <si>
    <t>Tula de Allende Hgo, a 11 de marzo del 2025</t>
  </si>
  <si>
    <r>
      <rPr>
        <sz val="16"/>
        <rFont val="Arial Narrow"/>
        <family val="2"/>
      </rPr>
      <t xml:space="preserve">Atendiendo a su amable solicitud, le presentamos a su consideración el presupuesto por el servicio de </t>
    </r>
    <r>
      <rPr>
        <b/>
        <sz val="16"/>
        <rFont val="Arial Narrow"/>
        <family val="2"/>
      </rPr>
      <t xml:space="preserve">"Apoyo con grúa para el traslado de una máquina de tratamiento de aceite dieléctrico de Zimapán casa de máquinas (CFE) a Tula de Allende y con la grúa realizar maniobras para acomodo en almacén en el mismo lugar " </t>
    </r>
    <r>
      <rPr>
        <sz val="16"/>
        <rFont val="Arial Narrow"/>
        <family val="2"/>
      </rPr>
      <t>en base al siguiente alcance.</t>
    </r>
  </si>
  <si>
    <t>Ing. Sergio Moreno / ricardoesm03@outlook.com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</si>
</sst>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P_t_s_-;\-* #,##0.00\ _P_t_s_-;_-* &quot;-&quot;??\ _P_t_s_-;_-@_-"/>
    <numFmt numFmtId="166" formatCode="_-* #,##0.00\ _€_-;\-* #,##0.00\ _€_-;_-* &quot;-&quot;??\ _€_-;_-@_-"/>
    <numFmt numFmtId="167" formatCode="0.0000"/>
    <numFmt numFmtId="168" formatCode="0.0"/>
    <numFmt numFmtId="169" formatCode="_(* #,##0.00_);_(* \(#,##0.00\);_(* &quot;-&quot;??_);_(@_)"/>
    <numFmt numFmtId="170" formatCode="0.0%"/>
    <numFmt numFmtId="171" formatCode="0.000"/>
    <numFmt numFmtId="172" formatCode="_(&quot;$&quot;* #,##0.00_);_(&quot;$&quot;* \(#,##0.00\);_(&quot;$&quot;* &quot;-&quot;??_);_(@_)"/>
    <numFmt numFmtId="173" formatCode="_-[$$-80A]* #,##0.00_-;\-[$$-80A]* #,##0.00_-;_-[$$-80A]* &quot;-&quot;??_-;_-@_-"/>
    <numFmt numFmtId="174" formatCode="[$$-80A]#,##0.00"/>
    <numFmt numFmtId="175" formatCode="_-* #,##0.0000_-;\-* #,##0.0000_-;_-* &quot;-&quot;??_-;_-@_-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rgb="FF0070C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4"/>
      <name val="Calibri"/>
      <family val="2"/>
    </font>
    <font>
      <sz val="12"/>
      <color rgb="FF0070C0"/>
      <name val="Calibri"/>
      <family val="2"/>
    </font>
    <font>
      <sz val="12"/>
      <color theme="0" tint="-0.499984740745262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ndara"/>
      <family val="2"/>
    </font>
    <font>
      <sz val="12"/>
      <color theme="4" tint="-0.499984740745262"/>
      <name val="Candara"/>
      <family val="2"/>
    </font>
    <font>
      <sz val="13"/>
      <color theme="3" tint="-0.249977111117893"/>
      <name val="Calibri Light"/>
      <family val="1"/>
      <scheme val="maj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indexed="23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6"/>
      <name val="Arial Narrow"/>
      <family val="2"/>
    </font>
    <font>
      <b/>
      <sz val="16"/>
      <name val="Arial Narrow"/>
      <family val="2"/>
    </font>
    <font>
      <b/>
      <sz val="16"/>
      <color theme="0"/>
      <name val="Arial Narrow"/>
      <family val="2"/>
    </font>
    <font>
      <sz val="16"/>
      <color indexed="8"/>
      <name val="Arial Narrow"/>
      <family val="2"/>
    </font>
    <font>
      <b/>
      <sz val="16"/>
      <color indexed="8"/>
      <name val="Arial Narrow"/>
      <family val="2"/>
    </font>
    <font>
      <b/>
      <sz val="16"/>
      <color rgb="FF3F3F3F"/>
      <name val="Arial Narrow"/>
      <family val="2"/>
    </font>
    <font>
      <sz val="16"/>
      <color indexed="23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3F3F3F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15" borderId="16" applyNumberFormat="0" applyAlignment="0" applyProtection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79">
    <xf numFmtId="0" fontId="0" fillId="0" borderId="0" xfId="0"/>
    <xf numFmtId="0" fontId="5" fillId="0" borderId="0" xfId="1" applyFont="1"/>
    <xf numFmtId="0" fontId="6" fillId="2" borderId="0" xfId="1" applyFont="1" applyFill="1"/>
    <xf numFmtId="0" fontId="7" fillId="2" borderId="0" xfId="1" applyFont="1" applyFill="1"/>
    <xf numFmtId="0" fontId="8" fillId="2" borderId="1" xfId="1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2" fontId="4" fillId="3" borderId="1" xfId="1" applyNumberFormat="1" applyFont="1" applyFill="1" applyBorder="1" applyAlignment="1">
      <alignment horizontal="center"/>
    </xf>
    <xf numFmtId="0" fontId="8" fillId="2" borderId="0" xfId="1" applyFont="1" applyFill="1"/>
    <xf numFmtId="167" fontId="4" fillId="2" borderId="0" xfId="1" applyNumberFormat="1" applyFont="1" applyFill="1" applyAlignment="1">
      <alignment horizontal="center"/>
    </xf>
    <xf numFmtId="2" fontId="4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2" fontId="4" fillId="2" borderId="5" xfId="1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  <xf numFmtId="0" fontId="5" fillId="2" borderId="0" xfId="1" applyFont="1" applyFill="1"/>
    <xf numFmtId="0" fontId="5" fillId="2" borderId="0" xfId="1" applyFont="1" applyFill="1" applyAlignment="1">
      <alignment horizontal="center"/>
    </xf>
    <xf numFmtId="0" fontId="8" fillId="0" borderId="0" xfId="1" applyFont="1"/>
    <xf numFmtId="165" fontId="4" fillId="3" borderId="1" xfId="2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2" fontId="4" fillId="2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8" fillId="3" borderId="2" xfId="1" applyFont="1" applyFill="1" applyBorder="1"/>
    <xf numFmtId="0" fontId="8" fillId="3" borderId="4" xfId="1" applyFont="1" applyFill="1" applyBorder="1"/>
    <xf numFmtId="9" fontId="4" fillId="3" borderId="1" xfId="1" applyNumberFormat="1" applyFont="1" applyFill="1" applyBorder="1" applyAlignment="1">
      <alignment horizontal="center"/>
    </xf>
    <xf numFmtId="0" fontId="4" fillId="2" borderId="0" xfId="1" applyFont="1" applyFill="1"/>
    <xf numFmtId="0" fontId="4" fillId="6" borderId="4" xfId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center"/>
    </xf>
    <xf numFmtId="2" fontId="5" fillId="2" borderId="0" xfId="1" applyNumberFormat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4" fillId="6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8" fillId="0" borderId="1" xfId="1" applyFont="1" applyBorder="1" applyAlignment="1">
      <alignment horizontal="center" vertical="center"/>
    </xf>
    <xf numFmtId="169" fontId="5" fillId="0" borderId="0" xfId="1" applyNumberFormat="1" applyFont="1"/>
    <xf numFmtId="2" fontId="5" fillId="0" borderId="0" xfId="1" applyNumberFormat="1" applyFont="1"/>
    <xf numFmtId="0" fontId="8" fillId="2" borderId="0" xfId="1" applyFont="1" applyFill="1" applyAlignment="1">
      <alignment horizontal="right"/>
    </xf>
    <xf numFmtId="0" fontId="4" fillId="5" borderId="4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8" fillId="2" borderId="0" xfId="1" applyFont="1" applyFill="1" applyAlignment="1">
      <alignment horizontal="left"/>
    </xf>
    <xf numFmtId="1" fontId="5" fillId="0" borderId="2" xfId="1" applyNumberFormat="1" applyFont="1" applyBorder="1" applyAlignment="1">
      <alignment horizontal="center"/>
    </xf>
    <xf numFmtId="2" fontId="5" fillId="0" borderId="6" xfId="1" applyNumberFormat="1" applyFont="1" applyBorder="1" applyAlignment="1">
      <alignment horizontal="center" vertical="center"/>
    </xf>
    <xf numFmtId="1" fontId="11" fillId="2" borderId="6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 vertical="center"/>
    </xf>
    <xf numFmtId="1" fontId="5" fillId="7" borderId="2" xfId="1" applyNumberFormat="1" applyFont="1" applyFill="1" applyBorder="1" applyAlignment="1">
      <alignment horizontal="center"/>
    </xf>
    <xf numFmtId="2" fontId="5" fillId="2" borderId="6" xfId="1" applyNumberFormat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1" fontId="5" fillId="8" borderId="2" xfId="1" applyNumberFormat="1" applyFont="1" applyFill="1" applyBorder="1" applyAlignment="1">
      <alignment horizontal="center"/>
    </xf>
    <xf numFmtId="0" fontId="5" fillId="0" borderId="6" xfId="1" applyFont="1" applyBorder="1" applyAlignment="1">
      <alignment horizontal="center"/>
    </xf>
    <xf numFmtId="1" fontId="5" fillId="2" borderId="2" xfId="1" applyNumberFormat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2" fontId="5" fillId="2" borderId="0" xfId="1" applyNumberFormat="1" applyFont="1" applyFill="1"/>
    <xf numFmtId="0" fontId="4" fillId="0" borderId="1" xfId="1" applyFont="1" applyBorder="1" applyAlignment="1">
      <alignment horizontal="center"/>
    </xf>
    <xf numFmtId="0" fontId="5" fillId="0" borderId="6" xfId="1" applyFont="1" applyBorder="1" applyAlignment="1">
      <alignment horizontal="left"/>
    </xf>
    <xf numFmtId="2" fontId="5" fillId="0" borderId="7" xfId="1" applyNumberFormat="1" applyFont="1" applyBorder="1" applyAlignment="1">
      <alignment horizontal="center"/>
    </xf>
    <xf numFmtId="1" fontId="11" fillId="2" borderId="7" xfId="1" applyNumberFormat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/>
    </xf>
    <xf numFmtId="0" fontId="8" fillId="0" borderId="9" xfId="1" applyFont="1" applyBorder="1"/>
    <xf numFmtId="1" fontId="8" fillId="0" borderId="10" xfId="1" applyNumberFormat="1" applyFont="1" applyBorder="1"/>
    <xf numFmtId="9" fontId="4" fillId="0" borderId="0" xfId="3" applyFont="1" applyFill="1" applyBorder="1" applyAlignment="1">
      <alignment horizontal="center"/>
    </xf>
    <xf numFmtId="166" fontId="5" fillId="0" borderId="0" xfId="1" applyNumberFormat="1" applyFont="1"/>
    <xf numFmtId="2" fontId="4" fillId="9" borderId="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2" fontId="8" fillId="2" borderId="0" xfId="1" applyNumberFormat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2" fontId="4" fillId="0" borderId="0" xfId="1" applyNumberFormat="1" applyFont="1"/>
    <xf numFmtId="2" fontId="4" fillId="0" borderId="0" xfId="1" applyNumberFormat="1" applyFont="1" applyAlignment="1">
      <alignment horizontal="right"/>
    </xf>
    <xf numFmtId="2" fontId="4" fillId="9" borderId="1" xfId="1" applyNumberFormat="1" applyFont="1" applyFill="1" applyBorder="1" applyAlignment="1">
      <alignment horizontal="right"/>
    </xf>
    <xf numFmtId="170" fontId="4" fillId="2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2" fontId="4" fillId="9" borderId="1" xfId="1" applyNumberFormat="1" applyFont="1" applyFill="1" applyBorder="1" applyAlignment="1">
      <alignment horizontal="center" vertical="center"/>
    </xf>
    <xf numFmtId="2" fontId="4" fillId="10" borderId="1" xfId="1" applyNumberFormat="1" applyFont="1" applyFill="1" applyBorder="1" applyAlignment="1">
      <alignment horizontal="center" vertical="center"/>
    </xf>
    <xf numFmtId="171" fontId="4" fillId="2" borderId="0" xfId="1" applyNumberFormat="1" applyFont="1" applyFill="1" applyAlignment="1">
      <alignment horizontal="right" vertical="center"/>
    </xf>
    <xf numFmtId="167" fontId="4" fillId="2" borderId="1" xfId="1" applyNumberFormat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171" fontId="4" fillId="9" borderId="1" xfId="1" applyNumberFormat="1" applyFont="1" applyFill="1" applyBorder="1" applyAlignment="1">
      <alignment horizontal="center" vertical="center"/>
    </xf>
    <xf numFmtId="9" fontId="4" fillId="2" borderId="1" xfId="3" applyFont="1" applyFill="1" applyBorder="1" applyAlignment="1">
      <alignment horizontal="center" vertical="center"/>
    </xf>
    <xf numFmtId="2" fontId="12" fillId="2" borderId="0" xfId="1" applyNumberFormat="1" applyFont="1" applyFill="1"/>
    <xf numFmtId="0" fontId="4" fillId="2" borderId="0" xfId="1" applyFont="1" applyFill="1" applyAlignment="1">
      <alignment horizontal="center" vertical="center"/>
    </xf>
    <xf numFmtId="165" fontId="4" fillId="2" borderId="0" xfId="2" applyFont="1" applyFill="1" applyBorder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171" fontId="8" fillId="0" borderId="0" xfId="1" applyNumberFormat="1" applyFont="1"/>
    <xf numFmtId="165" fontId="5" fillId="0" borderId="0" xfId="2" applyFont="1"/>
    <xf numFmtId="2" fontId="4" fillId="6" borderId="1" xfId="1" applyNumberFormat="1" applyFont="1" applyFill="1" applyBorder="1" applyAlignment="1">
      <alignment horizontal="center" vertical="center"/>
    </xf>
    <xf numFmtId="2" fontId="4" fillId="11" borderId="1" xfId="1" applyNumberFormat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/>
    </xf>
    <xf numFmtId="0" fontId="0" fillId="2" borderId="0" xfId="0" applyFill="1"/>
    <xf numFmtId="0" fontId="8" fillId="2" borderId="0" xfId="1" applyFont="1" applyFill="1" applyAlignment="1">
      <alignment horizontal="center"/>
    </xf>
    <xf numFmtId="0" fontId="13" fillId="2" borderId="0" xfId="0" applyFont="1" applyFill="1"/>
    <xf numFmtId="2" fontId="4" fillId="12" borderId="1" xfId="1" applyNumberFormat="1" applyFont="1" applyFill="1" applyBorder="1" applyAlignment="1">
      <alignment horizontal="center"/>
    </xf>
    <xf numFmtId="0" fontId="5" fillId="12" borderId="0" xfId="1" applyFont="1" applyFill="1"/>
    <xf numFmtId="0" fontId="5" fillId="12" borderId="0" xfId="1" applyFont="1" applyFill="1" applyAlignment="1">
      <alignment horizontal="center"/>
    </xf>
    <xf numFmtId="0" fontId="0" fillId="12" borderId="0" xfId="0" applyFill="1"/>
    <xf numFmtId="0" fontId="8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/>
    <xf numFmtId="2" fontId="4" fillId="4" borderId="2" xfId="1" applyNumberFormat="1" applyFont="1" applyFill="1" applyBorder="1" applyAlignment="1">
      <alignment horizontal="center"/>
    </xf>
    <xf numFmtId="2" fontId="4" fillId="9" borderId="0" xfId="1" applyNumberFormat="1" applyFont="1" applyFill="1"/>
    <xf numFmtId="2" fontId="4" fillId="3" borderId="0" xfId="1" applyNumberFormat="1" applyFont="1" applyFill="1"/>
    <xf numFmtId="2" fontId="4" fillId="3" borderId="1" xfId="1" applyNumberFormat="1" applyFont="1" applyFill="1" applyBorder="1"/>
    <xf numFmtId="2" fontId="4" fillId="13" borderId="1" xfId="1" applyNumberFormat="1" applyFont="1" applyFill="1" applyBorder="1" applyAlignment="1">
      <alignment horizontal="center" vertical="center"/>
    </xf>
    <xf numFmtId="2" fontId="4" fillId="13" borderId="2" xfId="1" applyNumberFormat="1" applyFont="1" applyFill="1" applyBorder="1" applyAlignment="1">
      <alignment horizontal="center" vertical="center"/>
    </xf>
    <xf numFmtId="2" fontId="4" fillId="14" borderId="13" xfId="1" applyNumberFormat="1" applyFont="1" applyFill="1" applyBorder="1" applyAlignment="1">
      <alignment horizontal="center" vertical="center"/>
    </xf>
    <xf numFmtId="2" fontId="4" fillId="14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11" borderId="0" xfId="1" applyFont="1" applyFill="1"/>
    <xf numFmtId="2" fontId="5" fillId="2" borderId="1" xfId="1" applyNumberFormat="1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2" fontId="7" fillId="12" borderId="1" xfId="1" applyNumberFormat="1" applyFont="1" applyFill="1" applyBorder="1" applyAlignment="1">
      <alignment horizontal="center"/>
    </xf>
    <xf numFmtId="165" fontId="5" fillId="2" borderId="0" xfId="2" applyFont="1" applyFill="1" applyAlignment="1">
      <alignment horizontal="center"/>
    </xf>
    <xf numFmtId="2" fontId="8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169" fontId="5" fillId="2" borderId="0" xfId="1" applyNumberFormat="1" applyFont="1" applyFill="1"/>
    <xf numFmtId="2" fontId="8" fillId="2" borderId="0" xfId="1" applyNumberFormat="1" applyFont="1" applyFill="1" applyAlignment="1">
      <alignment horizontal="center"/>
    </xf>
    <xf numFmtId="2" fontId="8" fillId="2" borderId="0" xfId="1" applyNumberFormat="1" applyFont="1" applyFill="1"/>
    <xf numFmtId="9" fontId="8" fillId="2" borderId="0" xfId="1" applyNumberFormat="1" applyFont="1" applyFill="1"/>
    <xf numFmtId="9" fontId="8" fillId="2" borderId="0" xfId="3" applyFont="1" applyFill="1" applyBorder="1"/>
    <xf numFmtId="166" fontId="5" fillId="2" borderId="0" xfId="1" applyNumberFormat="1" applyFont="1" applyFill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65" fontId="4" fillId="2" borderId="0" xfId="2" applyFont="1" applyFill="1" applyBorder="1" applyAlignment="1">
      <alignment horizont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/>
    <xf numFmtId="0" fontId="8" fillId="12" borderId="1" xfId="1" applyFont="1" applyFill="1" applyBorder="1"/>
    <xf numFmtId="0" fontId="7" fillId="12" borderId="1" xfId="1" applyFont="1" applyFill="1" applyBorder="1" applyAlignment="1">
      <alignment horizontal="center" vertical="center"/>
    </xf>
    <xf numFmtId="168" fontId="7" fillId="12" borderId="1" xfId="1" applyNumberFormat="1" applyFont="1" applyFill="1" applyBorder="1" applyAlignment="1">
      <alignment horizontal="center"/>
    </xf>
    <xf numFmtId="2" fontId="8" fillId="8" borderId="1" xfId="1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0" xfId="1" applyFont="1"/>
    <xf numFmtId="0" fontId="17" fillId="0" borderId="0" xfId="0" applyFont="1" applyAlignment="1">
      <alignment wrapText="1"/>
    </xf>
    <xf numFmtId="0" fontId="16" fillId="2" borderId="0" xfId="0" applyFont="1" applyFill="1"/>
    <xf numFmtId="166" fontId="16" fillId="0" borderId="0" xfId="5" applyNumberFormat="1" applyFont="1"/>
    <xf numFmtId="0" fontId="21" fillId="0" borderId="0" xfId="1" applyFont="1"/>
    <xf numFmtId="0" fontId="22" fillId="0" borderId="0" xfId="1" applyFont="1"/>
    <xf numFmtId="0" fontId="1" fillId="0" borderId="0" xfId="1"/>
    <xf numFmtId="0" fontId="23" fillId="0" borderId="0" xfId="0" applyFont="1"/>
    <xf numFmtId="0" fontId="24" fillId="0" borderId="0" xfId="1" applyFont="1"/>
    <xf numFmtId="0" fontId="23" fillId="0" borderId="0" xfId="1" applyFont="1"/>
    <xf numFmtId="0" fontId="20" fillId="0" borderId="0" xfId="1" applyFont="1"/>
    <xf numFmtId="0" fontId="23" fillId="0" borderId="0" xfId="0" applyFont="1" applyAlignment="1">
      <alignment vertical="center"/>
    </xf>
    <xf numFmtId="0" fontId="25" fillId="0" borderId="0" xfId="1" applyFont="1"/>
    <xf numFmtId="0" fontId="26" fillId="0" borderId="0" xfId="1" applyFont="1"/>
    <xf numFmtId="0" fontId="5" fillId="0" borderId="7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10" fontId="5" fillId="2" borderId="0" xfId="1" applyNumberFormat="1" applyFont="1" applyFill="1"/>
    <xf numFmtId="175" fontId="5" fillId="2" borderId="0" xfId="7" applyNumberFormat="1" applyFont="1" applyFill="1" applyAlignment="1">
      <alignment vertical="center"/>
    </xf>
    <xf numFmtId="2" fontId="4" fillId="2" borderId="1" xfId="7" applyNumberFormat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left"/>
    </xf>
    <xf numFmtId="2" fontId="4" fillId="2" borderId="22" xfId="1" applyNumberFormat="1" applyFont="1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9" fontId="4" fillId="2" borderId="0" xfId="1" applyNumberFormat="1" applyFont="1" applyFill="1" applyAlignment="1">
      <alignment horizontal="center"/>
    </xf>
    <xf numFmtId="0" fontId="27" fillId="0" borderId="17" xfId="0" applyFont="1" applyBorder="1"/>
    <xf numFmtId="0" fontId="27" fillId="2" borderId="17" xfId="0" applyFont="1" applyFill="1" applyBorder="1"/>
    <xf numFmtId="166" fontId="27" fillId="0" borderId="17" xfId="5" applyNumberFormat="1" applyFont="1" applyBorder="1"/>
    <xf numFmtId="0" fontId="28" fillId="0" borderId="0" xfId="1" applyFont="1" applyAlignment="1">
      <alignment horizontal="left" vertic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172" fontId="27" fillId="2" borderId="0" xfId="6" applyNumberFormat="1" applyFont="1" applyFill="1"/>
    <xf numFmtId="166" fontId="27" fillId="0" borderId="0" xfId="5" applyNumberFormat="1" applyFont="1"/>
    <xf numFmtId="0" fontId="27" fillId="0" borderId="0" xfId="1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left"/>
    </xf>
    <xf numFmtId="0" fontId="27" fillId="0" borderId="0" xfId="1" applyFont="1"/>
    <xf numFmtId="0" fontId="29" fillId="16" borderId="20" xfId="0" applyFont="1" applyFill="1" applyBorder="1" applyAlignment="1">
      <alignment horizontal="center" vertical="center"/>
    </xf>
    <xf numFmtId="0" fontId="29" fillId="17" borderId="20" xfId="0" applyFont="1" applyFill="1" applyBorder="1" applyAlignment="1">
      <alignment horizontal="center" vertical="center"/>
    </xf>
    <xf numFmtId="168" fontId="27" fillId="2" borderId="20" xfId="4" applyNumberFormat="1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left" vertical="center" wrapText="1"/>
    </xf>
    <xf numFmtId="0" fontId="27" fillId="2" borderId="20" xfId="0" applyFont="1" applyFill="1" applyBorder="1" applyAlignment="1">
      <alignment horizontal="center" vertical="center"/>
    </xf>
    <xf numFmtId="168" fontId="27" fillId="2" borderId="20" xfId="0" applyNumberFormat="1" applyFont="1" applyFill="1" applyBorder="1" applyAlignment="1">
      <alignment horizontal="center" vertical="center"/>
    </xf>
    <xf numFmtId="173" fontId="27" fillId="2" borderId="20" xfId="6" applyNumberFormat="1" applyFont="1" applyFill="1" applyBorder="1" applyAlignment="1">
      <alignment horizontal="center" vertical="center"/>
    </xf>
    <xf numFmtId="173" fontId="27" fillId="2" borderId="20" xfId="0" applyNumberFormat="1" applyFont="1" applyFill="1" applyBorder="1" applyAlignment="1">
      <alignment horizontal="center" vertical="center"/>
    </xf>
    <xf numFmtId="0" fontId="30" fillId="0" borderId="0" xfId="1" applyFont="1"/>
    <xf numFmtId="0" fontId="30" fillId="0" borderId="0" xfId="1" applyFont="1" applyAlignment="1">
      <alignment horizontal="left"/>
    </xf>
    <xf numFmtId="165" fontId="31" fillId="0" borderId="0" xfId="5" applyFont="1" applyBorder="1" applyAlignment="1">
      <alignment horizontal="left"/>
    </xf>
    <xf numFmtId="174" fontId="32" fillId="2" borderId="21" xfId="4" applyNumberFormat="1" applyFont="1" applyFill="1" applyBorder="1" applyAlignment="1">
      <alignment horizontal="center" vertical="center" wrapText="1"/>
    </xf>
    <xf numFmtId="0" fontId="31" fillId="0" borderId="0" xfId="1" applyFont="1" applyAlignment="1">
      <alignment vertical="center"/>
    </xf>
    <xf numFmtId="0" fontId="30" fillId="2" borderId="0" xfId="1" applyFont="1" applyFill="1"/>
    <xf numFmtId="2" fontId="30" fillId="0" borderId="0" xfId="1" applyNumberFormat="1" applyFont="1"/>
    <xf numFmtId="0" fontId="27" fillId="0" borderId="0" xfId="1" applyFont="1" applyAlignment="1">
      <alignment horizontal="justify" vertical="center"/>
    </xf>
    <xf numFmtId="0" fontId="28" fillId="18" borderId="0" xfId="0" applyFont="1" applyFill="1" applyAlignment="1">
      <alignment horizontal="left" vertical="center" wrapText="1"/>
    </xf>
    <xf numFmtId="0" fontId="27" fillId="18" borderId="0" xfId="0" applyFont="1" applyFill="1" applyAlignment="1">
      <alignment horizontal="left" vertical="center" wrapText="1"/>
    </xf>
    <xf numFmtId="0" fontId="28" fillId="18" borderId="0" xfId="0" applyFont="1" applyFill="1" applyAlignment="1">
      <alignment horizontal="left" wrapText="1"/>
    </xf>
    <xf numFmtId="0" fontId="28" fillId="2" borderId="0" xfId="0" applyFont="1" applyFill="1" applyAlignment="1">
      <alignment horizontal="left" wrapText="1"/>
    </xf>
    <xf numFmtId="166" fontId="28" fillId="18" borderId="0" xfId="5" applyNumberFormat="1" applyFont="1" applyFill="1" applyBorder="1" applyAlignment="1">
      <alignment horizontal="left" wrapText="1"/>
    </xf>
    <xf numFmtId="0" fontId="33" fillId="0" borderId="0" xfId="0" applyFont="1"/>
    <xf numFmtId="0" fontId="33" fillId="2" borderId="0" xfId="0" applyFont="1" applyFill="1"/>
    <xf numFmtId="166" fontId="33" fillId="0" borderId="0" xfId="5" applyNumberFormat="1" applyFont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1" applyFont="1" applyAlignment="1">
      <alignment horizontal="center"/>
    </xf>
    <xf numFmtId="0" fontId="30" fillId="0" borderId="0" xfId="1" applyFont="1" applyAlignment="1">
      <alignment horizontal="justify" vertical="center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left"/>
    </xf>
    <xf numFmtId="0" fontId="28" fillId="0" borderId="0" xfId="1" applyFont="1" applyAlignment="1">
      <alignment horizontal="left" vertical="center"/>
    </xf>
    <xf numFmtId="0" fontId="27" fillId="0" borderId="0" xfId="0" applyFont="1" applyAlignment="1">
      <alignment horizontal="right"/>
    </xf>
    <xf numFmtId="0" fontId="29" fillId="16" borderId="18" xfId="0" applyFont="1" applyFill="1" applyBorder="1" applyAlignment="1">
      <alignment horizontal="center" vertical="center"/>
    </xf>
    <xf numFmtId="0" fontId="29" fillId="16" borderId="19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4" fillId="9" borderId="5" xfId="1" applyFont="1" applyFill="1" applyBorder="1" applyAlignment="1">
      <alignment horizontal="center" wrapText="1"/>
    </xf>
    <xf numFmtId="0" fontId="4" fillId="9" borderId="1" xfId="1" applyFont="1" applyFill="1" applyBorder="1" applyAlignment="1">
      <alignment horizontal="center" wrapText="1"/>
    </xf>
    <xf numFmtId="2" fontId="4" fillId="2" borderId="0" xfId="1" applyNumberFormat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wrapText="1"/>
    </xf>
    <xf numFmtId="0" fontId="4" fillId="9" borderId="14" xfId="1" applyFont="1" applyFill="1" applyBorder="1" applyAlignment="1">
      <alignment horizontal="center" vertical="center"/>
    </xf>
    <xf numFmtId="0" fontId="4" fillId="9" borderId="15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/>
    </xf>
    <xf numFmtId="2" fontId="4" fillId="9" borderId="11" xfId="1" applyNumberFormat="1" applyFont="1" applyFill="1" applyBorder="1" applyAlignment="1">
      <alignment horizontal="center" vertical="center"/>
    </xf>
    <xf numFmtId="2" fontId="4" fillId="9" borderId="12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8" fillId="7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5" fillId="8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4" fillId="6" borderId="1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4" fillId="3" borderId="13" xfId="1" applyFont="1" applyFill="1" applyBorder="1" applyAlignment="1">
      <alignment horizontal="left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8" fillId="0" borderId="1" xfId="1" applyFont="1" applyBorder="1" applyAlignment="1">
      <alignment horizontal="center"/>
    </xf>
  </cellXfs>
  <cellStyles count="8">
    <cellStyle name="Millares" xfId="7" builtinId="3"/>
    <cellStyle name="Millares 2" xfId="2"/>
    <cellStyle name="Millares 2 2" xfId="5"/>
    <cellStyle name="Moneda 2" xfId="6"/>
    <cellStyle name="Normal" xfId="0" builtinId="0"/>
    <cellStyle name="Normal 2" xfId="1"/>
    <cellStyle name="Porcentaje 2" xfId="3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358588</xdr:colOff>
      <xdr:row>0</xdr:row>
      <xdr:rowOff>71718</xdr:rowOff>
    </xdr:from>
    <xdr:to>
      <xdr:col>1</xdr:col>
      <xdr:colOff>941294</xdr:colOff>
      <xdr:row>7</xdr:row>
      <xdr:rowOff>170329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xmlns="" id="{0B6EE9AE-D818-40A0-A9E9-437542072F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35" t="8164" r="13882" b="10196"/>
        <a:stretch/>
      </xdr:blipFill>
      <xdr:spPr>
        <a:xfrm>
          <a:off x="358588" y="71718"/>
          <a:ext cx="1290918" cy="1362635"/>
        </a:xfrm>
        <a:prstGeom prst="rect">
          <a:avLst/>
        </a:prstGeom>
      </xdr:spPr>
    </xdr:pic>
    <xdr:clientData/>
  </xdr:twoCellAnchor>
  <xdr:twoCellAnchor editAs="oneCell">
    <xdr:from>
      <xdr:col>1</xdr:col>
      <xdr:colOff>3917576</xdr:colOff>
      <xdr:row>28</xdr:row>
      <xdr:rowOff>19511</xdr:rowOff>
    </xdr:from>
    <xdr:to>
      <xdr:col>1</xdr:col>
      <xdr:colOff>5567083</xdr:colOff>
      <xdr:row>33</xdr:row>
      <xdr:rowOff>5462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4F809253-7467-4916-9208-88F30EFF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5788" y="9029040"/>
          <a:ext cx="1649507" cy="1106539"/>
        </a:xfrm>
        <a:prstGeom prst="rect">
          <a:avLst/>
        </a:prstGeom>
      </xdr:spPr>
    </xdr:pic>
    <xdr:clientData/>
  </xdr:twoCellAnchor>
  <xdr:twoCellAnchor>
    <xdr:from>
      <xdr:col>1</xdr:col>
      <xdr:colOff>3380815</xdr:colOff>
      <xdr:row>33</xdr:row>
      <xdr:rowOff>26894</xdr:rowOff>
    </xdr:from>
    <xdr:to>
      <xdr:col>1</xdr:col>
      <xdr:colOff>5971615</xdr:colOff>
      <xdr:row>33</xdr:row>
      <xdr:rowOff>26894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23CA77EF-E522-4E89-B3AE-54C3CDD2B45B}"/>
            </a:ext>
          </a:extLst>
        </xdr:cNvPr>
        <xdr:cNvCxnSpPr/>
      </xdr:nvCxnSpPr>
      <xdr:spPr>
        <a:xfrm>
          <a:off x="4066615" y="12314144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mmee.com.mx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76"/>
  <sheetViews>
    <sheetView showGridLines="0" tabSelected="1" view="pageBreakPreview" zoomScale="70" zoomScaleNormal="100" zoomScaleSheetLayoutView="70" workbookViewId="0">
      <selection activeCell="B12" sqref="B12"/>
    </sheetView>
  </sheetViews>
  <sheetFormatPr baseColWidth="10" defaultColWidth="9.140625" defaultRowHeight="15" x14ac:dyDescent="0.2"/>
  <cols>
    <col min="1" max="1" width="10.28515625" style="159" bestFit="1" customWidth="1"/>
    <col min="2" max="2" width="95.7109375" style="159" customWidth="1"/>
    <col min="3" max="3" width="15.5703125" style="159" customWidth="1"/>
    <col min="4" max="4" width="16.42578125" style="159" customWidth="1"/>
    <col min="5" max="5" width="16.7109375" style="159" customWidth="1"/>
    <col min="6" max="6" width="16.28515625" style="159" customWidth="1"/>
    <col min="7" max="7" width="21.28515625" style="159" customWidth="1"/>
    <col min="8" max="10" width="9.140625" style="159"/>
    <col min="11" max="11" width="13.28515625" style="159" customWidth="1"/>
    <col min="12" max="16384" width="9.140625" style="159"/>
  </cols>
  <sheetData>
    <row r="1" spans="1:9" s="151" customFormat="1" ht="19.5" customHeight="1" x14ac:dyDescent="0.25">
      <c r="A1" s="149"/>
      <c r="B1" s="149"/>
      <c r="C1" s="150"/>
      <c r="D1" s="216" t="s">
        <v>139</v>
      </c>
      <c r="E1" s="216"/>
      <c r="F1" s="216"/>
    </row>
    <row r="2" spans="1:9" s="151" customFormat="1" ht="14.25" customHeight="1" x14ac:dyDescent="0.25">
      <c r="A2" s="149"/>
      <c r="B2" s="149"/>
      <c r="C2" s="150"/>
      <c r="D2" s="216" t="s">
        <v>140</v>
      </c>
      <c r="E2" s="216"/>
      <c r="F2" s="216"/>
    </row>
    <row r="3" spans="1:9" s="151" customFormat="1" ht="14.25" customHeight="1" x14ac:dyDescent="0.25">
      <c r="A3" s="149"/>
      <c r="B3" s="149"/>
      <c r="C3" s="152"/>
      <c r="D3" s="216" t="s">
        <v>161</v>
      </c>
      <c r="E3" s="216"/>
      <c r="F3" s="216"/>
    </row>
    <row r="4" spans="1:9" s="151" customFormat="1" ht="14.25" customHeight="1" x14ac:dyDescent="0.25">
      <c r="A4" s="149"/>
      <c r="B4" s="149"/>
      <c r="C4" s="150"/>
      <c r="D4" s="216" t="s">
        <v>141</v>
      </c>
      <c r="E4" s="216"/>
      <c r="F4" s="216"/>
    </row>
    <row r="5" spans="1:9" s="151" customFormat="1" ht="14.25" customHeight="1" x14ac:dyDescent="0.25">
      <c r="A5" s="149"/>
      <c r="B5" s="149"/>
      <c r="C5" s="150"/>
      <c r="D5" s="216"/>
      <c r="E5" s="216"/>
      <c r="F5" s="216"/>
    </row>
    <row r="6" spans="1:9" s="151" customFormat="1" ht="9.75" customHeight="1" x14ac:dyDescent="0.2">
      <c r="A6" s="149"/>
      <c r="B6" s="149"/>
      <c r="C6" s="149"/>
      <c r="D6" s="149"/>
      <c r="E6" s="153"/>
      <c r="F6" s="154"/>
    </row>
    <row r="7" spans="1:9" s="151" customFormat="1" ht="12.75" x14ac:dyDescent="0.2">
      <c r="A7" s="149"/>
      <c r="B7" s="149"/>
      <c r="C7" s="149"/>
      <c r="D7" s="149"/>
      <c r="E7" s="153"/>
      <c r="F7" s="154"/>
    </row>
    <row r="8" spans="1:9" s="151" customFormat="1" ht="18" thickBot="1" x14ac:dyDescent="0.35">
      <c r="A8" s="149"/>
      <c r="B8" s="217" t="s">
        <v>142</v>
      </c>
      <c r="C8" s="217"/>
      <c r="D8" s="217"/>
      <c r="E8" s="217"/>
      <c r="F8" s="217"/>
    </row>
    <row r="9" spans="1:9" s="156" customFormat="1" ht="9" customHeight="1" x14ac:dyDescent="0.3">
      <c r="A9" s="176"/>
      <c r="B9" s="176"/>
      <c r="C9" s="176"/>
      <c r="D9" s="176"/>
      <c r="E9" s="177"/>
      <c r="F9" s="178"/>
      <c r="G9" s="155"/>
      <c r="H9" s="155"/>
      <c r="I9" s="155"/>
    </row>
    <row r="10" spans="1:9" s="157" customFormat="1" ht="20.25" x14ac:dyDescent="0.3">
      <c r="A10" s="218"/>
      <c r="B10" s="218"/>
      <c r="C10" s="219" t="s">
        <v>187</v>
      </c>
      <c r="D10" s="219"/>
      <c r="E10" s="219"/>
      <c r="F10" s="219"/>
    </row>
    <row r="11" spans="1:9" s="157" customFormat="1" ht="20.25" x14ac:dyDescent="0.3">
      <c r="A11" s="179" t="s">
        <v>189</v>
      </c>
      <c r="B11" s="179"/>
      <c r="C11" s="180"/>
      <c r="D11" s="180"/>
      <c r="E11" s="180"/>
      <c r="F11" s="180"/>
    </row>
    <row r="12" spans="1:9" s="157" customFormat="1" ht="20.25" x14ac:dyDescent="0.3">
      <c r="A12" s="179" t="s">
        <v>182</v>
      </c>
      <c r="B12" s="179"/>
      <c r="C12" s="180"/>
      <c r="D12" s="180"/>
      <c r="E12" s="180"/>
      <c r="F12" s="180"/>
    </row>
    <row r="13" spans="1:9" s="157" customFormat="1" ht="29.25" customHeight="1" x14ac:dyDescent="0.3">
      <c r="A13" s="218"/>
      <c r="B13" s="218"/>
      <c r="C13" s="181"/>
      <c r="D13" s="181"/>
      <c r="E13" s="182"/>
      <c r="F13" s="183"/>
    </row>
    <row r="14" spans="1:9" s="157" customFormat="1" ht="16.5" customHeight="1" x14ac:dyDescent="0.3">
      <c r="A14" s="184" t="s">
        <v>143</v>
      </c>
      <c r="B14" s="185"/>
      <c r="C14" s="181"/>
      <c r="D14" s="181"/>
      <c r="E14" s="220" t="s">
        <v>183</v>
      </c>
      <c r="F14" s="221"/>
    </row>
    <row r="15" spans="1:9" s="157" customFormat="1" ht="8.25" customHeight="1" x14ac:dyDescent="0.3">
      <c r="A15" s="186"/>
      <c r="B15" s="185"/>
      <c r="C15" s="181"/>
      <c r="D15" s="181"/>
      <c r="E15" s="187"/>
      <c r="F15" s="187"/>
    </row>
    <row r="16" spans="1:9" s="157" customFormat="1" ht="111" customHeight="1" x14ac:dyDescent="0.2">
      <c r="A16" s="222" t="s">
        <v>188</v>
      </c>
      <c r="B16" s="223"/>
      <c r="C16" s="223"/>
      <c r="D16" s="223"/>
      <c r="E16" s="223"/>
      <c r="F16" s="223"/>
    </row>
    <row r="17" spans="1:7" s="157" customFormat="1" ht="20.100000000000001" customHeight="1" x14ac:dyDescent="0.2">
      <c r="A17" s="188" t="s">
        <v>144</v>
      </c>
      <c r="B17" s="188" t="s">
        <v>145</v>
      </c>
      <c r="C17" s="188" t="s">
        <v>146</v>
      </c>
      <c r="D17" s="189" t="s">
        <v>147</v>
      </c>
      <c r="E17" s="189" t="s">
        <v>148</v>
      </c>
      <c r="F17" s="188" t="s">
        <v>0</v>
      </c>
    </row>
    <row r="18" spans="1:7" s="157" customFormat="1" ht="295.5" customHeight="1" x14ac:dyDescent="0.2">
      <c r="A18" s="190">
        <v>1</v>
      </c>
      <c r="B18" s="191" t="s">
        <v>185</v>
      </c>
      <c r="C18" s="192" t="s">
        <v>180</v>
      </c>
      <c r="D18" s="193">
        <v>1</v>
      </c>
      <c r="E18" s="194">
        <f>M0!H97</f>
        <v>36269.423525999999</v>
      </c>
      <c r="F18" s="195">
        <f>E18*D18</f>
        <v>36269.423525999999</v>
      </c>
    </row>
    <row r="19" spans="1:7" ht="24" customHeight="1" x14ac:dyDescent="0.3">
      <c r="A19" s="196"/>
      <c r="B19" s="197"/>
      <c r="C19" s="196"/>
      <c r="D19" s="198"/>
      <c r="E19" s="189" t="s">
        <v>149</v>
      </c>
      <c r="F19" s="199">
        <f>F18</f>
        <v>36269.423525999999</v>
      </c>
    </row>
    <row r="20" spans="1:7" ht="32.25" customHeight="1" x14ac:dyDescent="0.3">
      <c r="A20" s="187"/>
      <c r="B20" s="200" t="s">
        <v>150</v>
      </c>
      <c r="C20" s="196"/>
      <c r="D20" s="196"/>
      <c r="E20" s="201"/>
      <c r="F20" s="202"/>
    </row>
    <row r="21" spans="1:7" ht="20.100000000000001" customHeight="1" x14ac:dyDescent="0.2">
      <c r="A21" s="203"/>
      <c r="B21" s="215" t="s">
        <v>186</v>
      </c>
      <c r="C21" s="215"/>
      <c r="D21" s="215"/>
      <c r="E21" s="215"/>
      <c r="F21" s="215"/>
    </row>
    <row r="22" spans="1:7" ht="20.100000000000001" customHeight="1" x14ac:dyDescent="0.2">
      <c r="A22" s="203"/>
      <c r="B22" s="215" t="s">
        <v>179</v>
      </c>
      <c r="C22" s="215"/>
      <c r="D22" s="215"/>
      <c r="E22" s="215"/>
      <c r="F22" s="215"/>
    </row>
    <row r="23" spans="1:7" s="161" customFormat="1" ht="20.100000000000001" customHeight="1" x14ac:dyDescent="0.3">
      <c r="A23" s="203"/>
      <c r="B23" s="215" t="s">
        <v>151</v>
      </c>
      <c r="C23" s="215"/>
      <c r="D23" s="215"/>
      <c r="E23" s="215"/>
      <c r="F23" s="215"/>
    </row>
    <row r="24" spans="1:7" s="161" customFormat="1" ht="20.100000000000001" customHeight="1" x14ac:dyDescent="0.3">
      <c r="A24" s="203"/>
      <c r="B24" s="215" t="s">
        <v>152</v>
      </c>
      <c r="C24" s="215"/>
      <c r="D24" s="215"/>
      <c r="E24" s="215"/>
      <c r="F24" s="215"/>
    </row>
    <row r="25" spans="1:7" s="161" customFormat="1" ht="20.100000000000001" customHeight="1" x14ac:dyDescent="0.3">
      <c r="A25" s="203"/>
      <c r="B25" s="215" t="s">
        <v>153</v>
      </c>
      <c r="C25" s="215"/>
      <c r="D25" s="215"/>
      <c r="E25" s="215"/>
      <c r="F25" s="215"/>
    </row>
    <row r="26" spans="1:7" s="161" customFormat="1" ht="20.25" x14ac:dyDescent="0.3">
      <c r="A26" s="204"/>
      <c r="B26" s="205"/>
      <c r="C26" s="206"/>
      <c r="D26" s="206"/>
      <c r="E26" s="207"/>
      <c r="F26" s="208"/>
    </row>
    <row r="27" spans="1:7" s="161" customFormat="1" ht="20.25" x14ac:dyDescent="0.3">
      <c r="A27" s="185"/>
      <c r="B27" s="185"/>
      <c r="C27" s="209"/>
      <c r="D27" s="209"/>
      <c r="E27" s="210"/>
      <c r="F27" s="211"/>
    </row>
    <row r="28" spans="1:7" s="161" customFormat="1" ht="20.25" x14ac:dyDescent="0.3">
      <c r="A28" s="213" t="s">
        <v>154</v>
      </c>
      <c r="B28" s="213"/>
      <c r="C28" s="213"/>
      <c r="D28" s="213"/>
      <c r="E28" s="213"/>
      <c r="F28" s="213"/>
    </row>
    <row r="29" spans="1:7" s="161" customFormat="1" ht="17.25" x14ac:dyDescent="0.3">
      <c r="A29" s="214"/>
      <c r="B29" s="214"/>
      <c r="C29" s="214"/>
      <c r="D29" s="214"/>
      <c r="E29" s="214"/>
      <c r="F29" s="214"/>
    </row>
    <row r="30" spans="1:7" s="161" customFormat="1" ht="17.25" x14ac:dyDescent="0.3">
      <c r="A30" s="214"/>
      <c r="B30" s="214"/>
      <c r="C30" s="214"/>
      <c r="D30" s="214"/>
      <c r="E30" s="214"/>
      <c r="F30" s="214"/>
    </row>
    <row r="31" spans="1:7" s="161" customFormat="1" ht="17.25" x14ac:dyDescent="0.3">
      <c r="A31" s="214"/>
      <c r="B31" s="214"/>
      <c r="C31" s="214"/>
      <c r="D31" s="214"/>
      <c r="E31" s="214"/>
      <c r="F31" s="214"/>
    </row>
    <row r="32" spans="1:7" s="161" customFormat="1" ht="17.25" x14ac:dyDescent="0.3">
      <c r="A32" s="214"/>
      <c r="B32" s="214"/>
      <c r="C32" s="214"/>
      <c r="D32" s="214"/>
      <c r="E32" s="214"/>
      <c r="F32" s="214"/>
      <c r="G32" s="162"/>
    </row>
    <row r="33" spans="1:7" s="161" customFormat="1" ht="17.25" x14ac:dyDescent="0.3">
      <c r="A33" s="214"/>
      <c r="B33" s="214"/>
      <c r="C33" s="214"/>
      <c r="D33" s="214"/>
      <c r="E33" s="214"/>
      <c r="F33" s="214"/>
      <c r="G33" s="158"/>
    </row>
    <row r="34" spans="1:7" s="161" customFormat="1" ht="20.25" x14ac:dyDescent="0.3">
      <c r="A34" s="212" t="s">
        <v>155</v>
      </c>
      <c r="B34" s="212"/>
      <c r="C34" s="212"/>
      <c r="D34" s="212"/>
      <c r="E34" s="212"/>
      <c r="F34" s="212"/>
    </row>
    <row r="35" spans="1:7" s="161" customFormat="1" ht="20.25" x14ac:dyDescent="0.3">
      <c r="A35" s="213" t="s">
        <v>156</v>
      </c>
      <c r="B35" s="213"/>
      <c r="C35" s="213"/>
      <c r="D35" s="213"/>
      <c r="E35" s="213"/>
      <c r="F35" s="213"/>
    </row>
    <row r="36" spans="1:7" s="161" customFormat="1" ht="20.25" x14ac:dyDescent="0.3">
      <c r="A36" s="214"/>
      <c r="B36" s="214"/>
      <c r="C36" s="214"/>
      <c r="D36" s="214"/>
      <c r="E36" s="214"/>
      <c r="F36" s="214"/>
    </row>
    <row r="37" spans="1:7" s="161" customFormat="1" ht="17.25" x14ac:dyDescent="0.3"/>
    <row r="38" spans="1:7" s="161" customFormat="1" ht="17.25" x14ac:dyDescent="0.3"/>
    <row r="39" spans="1:7" s="161" customFormat="1" ht="17.25" x14ac:dyDescent="0.3"/>
    <row r="40" spans="1:7" s="161" customFormat="1" ht="17.25" x14ac:dyDescent="0.3"/>
    <row r="41" spans="1:7" s="161" customFormat="1" ht="17.25" x14ac:dyDescent="0.3"/>
    <row r="42" spans="1:7" s="161" customFormat="1" ht="17.25" x14ac:dyDescent="0.3"/>
    <row r="43" spans="1:7" s="160" customFormat="1" ht="17.25" x14ac:dyDescent="0.3">
      <c r="A43" s="161"/>
      <c r="B43" s="161"/>
      <c r="C43" s="161"/>
      <c r="D43" s="161"/>
      <c r="E43" s="161"/>
      <c r="F43" s="161"/>
    </row>
    <row r="44" spans="1:7" s="160" customFormat="1" ht="18.75" x14ac:dyDescent="0.3">
      <c r="A44" s="163"/>
      <c r="B44" s="163"/>
      <c r="C44" s="163"/>
      <c r="D44" s="163"/>
      <c r="E44" s="163"/>
      <c r="F44" s="163"/>
    </row>
    <row r="45" spans="1:7" s="160" customFormat="1" ht="18.75" x14ac:dyDescent="0.3">
      <c r="A45" s="163"/>
      <c r="B45" s="163"/>
      <c r="C45" s="163"/>
      <c r="D45" s="163"/>
      <c r="E45" s="163"/>
      <c r="F45" s="163"/>
    </row>
    <row r="46" spans="1:7" s="160" customFormat="1" ht="18.75" x14ac:dyDescent="0.3">
      <c r="A46" s="163"/>
      <c r="B46" s="163"/>
      <c r="C46" s="163"/>
      <c r="D46" s="163"/>
      <c r="E46" s="163"/>
      <c r="F46" s="163"/>
    </row>
    <row r="47" spans="1:7" s="160" customFormat="1" ht="18.75" x14ac:dyDescent="0.3">
      <c r="A47" s="163"/>
      <c r="B47" s="163"/>
      <c r="C47" s="163"/>
      <c r="D47" s="163"/>
      <c r="E47" s="163"/>
      <c r="F47" s="163"/>
    </row>
    <row r="48" spans="1:7" s="160" customFormat="1" ht="18.75" x14ac:dyDescent="0.3">
      <c r="A48" s="163"/>
      <c r="B48" s="163"/>
      <c r="C48" s="163"/>
      <c r="D48" s="163"/>
      <c r="E48" s="163"/>
      <c r="F48" s="163"/>
    </row>
    <row r="49" spans="1:6" s="160" customFormat="1" ht="18.75" x14ac:dyDescent="0.3">
      <c r="A49" s="163"/>
      <c r="B49" s="163"/>
      <c r="C49" s="163"/>
      <c r="D49" s="163"/>
      <c r="E49" s="163"/>
      <c r="F49" s="163"/>
    </row>
    <row r="50" spans="1:6" s="160" customFormat="1" ht="18.75" x14ac:dyDescent="0.3">
      <c r="A50" s="163"/>
      <c r="B50" s="163"/>
      <c r="C50" s="163"/>
      <c r="D50" s="163"/>
      <c r="E50" s="163"/>
      <c r="F50" s="163"/>
    </row>
    <row r="51" spans="1:6" s="160" customFormat="1" ht="18.75" x14ac:dyDescent="0.3">
      <c r="A51" s="163"/>
      <c r="B51" s="163"/>
      <c r="C51" s="163"/>
      <c r="D51" s="163"/>
      <c r="E51" s="163"/>
      <c r="F51" s="163"/>
    </row>
    <row r="52" spans="1:6" s="160" customFormat="1" ht="18.75" x14ac:dyDescent="0.3">
      <c r="A52" s="163"/>
      <c r="B52" s="163"/>
      <c r="C52" s="163"/>
      <c r="D52" s="163"/>
      <c r="E52" s="163"/>
      <c r="F52" s="163"/>
    </row>
    <row r="53" spans="1:6" s="160" customFormat="1" ht="18.75" x14ac:dyDescent="0.3">
      <c r="A53" s="163"/>
      <c r="B53" s="163"/>
      <c r="C53" s="163"/>
      <c r="D53" s="163"/>
      <c r="E53" s="163"/>
      <c r="F53" s="163"/>
    </row>
    <row r="54" spans="1:6" s="160" customFormat="1" ht="18.75" x14ac:dyDescent="0.3">
      <c r="A54" s="163"/>
      <c r="B54" s="163"/>
      <c r="C54" s="163"/>
      <c r="D54" s="163"/>
      <c r="E54" s="163"/>
      <c r="F54" s="163"/>
    </row>
    <row r="55" spans="1:6" s="160" customFormat="1" ht="18.75" x14ac:dyDescent="0.3">
      <c r="A55" s="163"/>
      <c r="B55" s="163"/>
      <c r="C55" s="163"/>
      <c r="D55" s="163"/>
      <c r="E55" s="163"/>
      <c r="F55" s="163"/>
    </row>
    <row r="56" spans="1:6" s="160" customFormat="1" ht="18.75" x14ac:dyDescent="0.3">
      <c r="A56" s="163"/>
      <c r="B56" s="163"/>
      <c r="C56" s="163"/>
      <c r="D56" s="163"/>
      <c r="E56" s="163"/>
      <c r="F56" s="163"/>
    </row>
    <row r="57" spans="1:6" s="160" customFormat="1" ht="18.75" x14ac:dyDescent="0.3">
      <c r="A57" s="163"/>
      <c r="B57" s="163"/>
      <c r="C57" s="163"/>
      <c r="D57" s="163"/>
      <c r="E57" s="163"/>
      <c r="F57" s="163"/>
    </row>
    <row r="58" spans="1:6" s="160" customFormat="1" ht="18.75" x14ac:dyDescent="0.3">
      <c r="A58" s="163"/>
      <c r="B58" s="163"/>
      <c r="C58" s="163"/>
      <c r="D58" s="163"/>
      <c r="E58" s="163"/>
      <c r="F58" s="163"/>
    </row>
    <row r="59" spans="1:6" s="160" customFormat="1" ht="18.75" x14ac:dyDescent="0.3">
      <c r="A59" s="163"/>
      <c r="B59" s="163"/>
      <c r="C59" s="163"/>
      <c r="D59" s="163"/>
      <c r="E59" s="163"/>
      <c r="F59" s="163"/>
    </row>
    <row r="60" spans="1:6" s="160" customFormat="1" ht="18.75" x14ac:dyDescent="0.3">
      <c r="A60" s="163"/>
      <c r="B60" s="163"/>
      <c r="C60" s="163"/>
      <c r="D60" s="163"/>
      <c r="E60" s="163"/>
      <c r="F60" s="163"/>
    </row>
    <row r="61" spans="1:6" s="160" customFormat="1" ht="18.75" x14ac:dyDescent="0.3">
      <c r="A61" s="163"/>
      <c r="B61" s="163"/>
      <c r="C61" s="163"/>
      <c r="D61" s="163"/>
      <c r="E61" s="163"/>
      <c r="F61" s="163"/>
    </row>
    <row r="62" spans="1:6" s="160" customFormat="1" ht="18.75" x14ac:dyDescent="0.3">
      <c r="A62" s="163"/>
      <c r="B62" s="163"/>
      <c r="C62" s="163"/>
      <c r="D62" s="163"/>
      <c r="E62" s="163"/>
      <c r="F62" s="163"/>
    </row>
    <row r="63" spans="1:6" s="160" customFormat="1" ht="18.75" x14ac:dyDescent="0.3">
      <c r="A63" s="163"/>
      <c r="B63" s="163"/>
      <c r="C63" s="163"/>
      <c r="D63" s="163"/>
      <c r="E63" s="163"/>
      <c r="F63" s="163"/>
    </row>
    <row r="64" spans="1:6" s="160" customFormat="1" ht="18.75" x14ac:dyDescent="0.3">
      <c r="A64" s="163"/>
      <c r="B64" s="163"/>
      <c r="C64" s="163"/>
      <c r="D64" s="163"/>
      <c r="E64" s="163"/>
      <c r="F64" s="163"/>
    </row>
    <row r="65" spans="1:6" s="160" customFormat="1" ht="18.75" x14ac:dyDescent="0.3">
      <c r="A65" s="163"/>
      <c r="B65" s="163"/>
      <c r="C65" s="163"/>
      <c r="D65" s="163"/>
      <c r="E65" s="163"/>
      <c r="F65" s="163"/>
    </row>
    <row r="66" spans="1:6" s="160" customFormat="1" ht="18.75" x14ac:dyDescent="0.3">
      <c r="A66" s="163"/>
      <c r="B66" s="163"/>
      <c r="C66" s="163"/>
      <c r="D66" s="163"/>
      <c r="E66" s="163"/>
      <c r="F66" s="163"/>
    </row>
    <row r="67" spans="1:6" s="160" customFormat="1" ht="18.75" x14ac:dyDescent="0.3">
      <c r="A67" s="163"/>
      <c r="B67" s="163"/>
      <c r="C67" s="163"/>
      <c r="D67" s="163"/>
      <c r="E67" s="163"/>
      <c r="F67" s="163"/>
    </row>
    <row r="68" spans="1:6" s="160" customFormat="1" ht="18.75" x14ac:dyDescent="0.3">
      <c r="A68" s="163"/>
      <c r="B68" s="163"/>
      <c r="C68" s="163"/>
      <c r="D68" s="163"/>
      <c r="E68" s="163"/>
      <c r="F68" s="163"/>
    </row>
    <row r="69" spans="1:6" s="160" customFormat="1" ht="18.75" x14ac:dyDescent="0.3">
      <c r="A69" s="163"/>
      <c r="B69" s="163"/>
      <c r="C69" s="163"/>
      <c r="D69" s="163"/>
      <c r="E69" s="163"/>
      <c r="F69" s="163"/>
    </row>
    <row r="70" spans="1:6" s="160" customFormat="1" ht="18.75" x14ac:dyDescent="0.3">
      <c r="A70" s="163"/>
      <c r="B70" s="163"/>
      <c r="C70" s="163"/>
      <c r="D70" s="163"/>
      <c r="E70" s="163"/>
      <c r="F70" s="163"/>
    </row>
    <row r="71" spans="1:6" ht="18" x14ac:dyDescent="0.25">
      <c r="A71" s="164"/>
      <c r="B71" s="164"/>
      <c r="C71" s="164"/>
      <c r="D71" s="164"/>
      <c r="E71" s="164"/>
      <c r="F71" s="164"/>
    </row>
    <row r="72" spans="1:6" ht="18" x14ac:dyDescent="0.25">
      <c r="A72" s="164"/>
      <c r="B72" s="164"/>
      <c r="C72" s="164"/>
      <c r="D72" s="164"/>
      <c r="E72" s="164"/>
      <c r="F72" s="164"/>
    </row>
    <row r="73" spans="1:6" ht="18" x14ac:dyDescent="0.25">
      <c r="A73" s="164"/>
      <c r="B73" s="164"/>
      <c r="C73" s="164"/>
      <c r="D73" s="164"/>
      <c r="E73" s="164"/>
      <c r="F73" s="164"/>
    </row>
    <row r="74" spans="1:6" ht="18" x14ac:dyDescent="0.25">
      <c r="A74" s="164"/>
      <c r="B74" s="164"/>
      <c r="C74" s="164"/>
      <c r="D74" s="164"/>
      <c r="E74" s="164"/>
      <c r="F74" s="164"/>
    </row>
    <row r="75" spans="1:6" ht="18" x14ac:dyDescent="0.25">
      <c r="A75" s="164"/>
      <c r="B75" s="164"/>
      <c r="C75" s="164"/>
      <c r="D75" s="164"/>
      <c r="E75" s="164"/>
      <c r="F75" s="164"/>
    </row>
    <row r="76" spans="1:6" ht="18" x14ac:dyDescent="0.25">
      <c r="A76" s="164"/>
      <c r="B76" s="164"/>
      <c r="C76" s="164"/>
      <c r="D76" s="164"/>
      <c r="E76" s="164"/>
      <c r="F76" s="164"/>
    </row>
  </sheetData>
  <mergeCells count="21">
    <mergeCell ref="B21:F21"/>
    <mergeCell ref="D1:F1"/>
    <mergeCell ref="D2:F2"/>
    <mergeCell ref="D3:F3"/>
    <mergeCell ref="D4:F4"/>
    <mergeCell ref="D5:F5"/>
    <mergeCell ref="B8:F8"/>
    <mergeCell ref="A10:B10"/>
    <mergeCell ref="C10:F10"/>
    <mergeCell ref="A13:B13"/>
    <mergeCell ref="E14:F14"/>
    <mergeCell ref="A16:F16"/>
    <mergeCell ref="A34:F34"/>
    <mergeCell ref="A35:F35"/>
    <mergeCell ref="A36:F36"/>
    <mergeCell ref="B22:F22"/>
    <mergeCell ref="B23:F23"/>
    <mergeCell ref="B24:F24"/>
    <mergeCell ref="B25:F25"/>
    <mergeCell ref="A28:F28"/>
    <mergeCell ref="A29:F33"/>
  </mergeCells>
  <hyperlinks>
    <hyperlink ref="D4" r:id="rId1"/>
  </hyperlinks>
  <printOptions horizontalCentered="1"/>
  <pageMargins left="0.51181102362204722" right="0.11811023622047245" top="0.74803149606299213" bottom="0.55118110236220474" header="0.31496062992125984" footer="0.31496062992125984"/>
  <pageSetup scale="4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103" zoomScale="87" zoomScaleNormal="70" zoomScaleSheetLayoutView="87" workbookViewId="0">
      <selection activeCell="G121" sqref="G121"/>
    </sheetView>
  </sheetViews>
  <sheetFormatPr baseColWidth="10" defaultRowHeight="15" x14ac:dyDescent="0.25"/>
  <cols>
    <col min="3" max="3" width="11.42578125" customWidth="1"/>
    <col min="4" max="4" width="14.7109375" customWidth="1"/>
    <col min="5" max="6" width="11.42578125" customWidth="1"/>
    <col min="7" max="7" width="13.28515625" customWidth="1"/>
    <col min="8" max="8" width="15.42578125" customWidth="1"/>
    <col min="10" max="10" width="13" customWidth="1"/>
    <col min="11" max="12" width="13.28515625" customWidth="1"/>
    <col min="13" max="13" width="12.28515625" customWidth="1"/>
  </cols>
  <sheetData>
    <row r="1" spans="1:72" ht="18.75" x14ac:dyDescent="0.3">
      <c r="A1" s="268" t="s">
        <v>1</v>
      </c>
      <c r="B1" s="268"/>
      <c r="C1" s="268"/>
      <c r="D1" s="268"/>
      <c r="E1" s="268"/>
      <c r="F1" s="268"/>
      <c r="G1" s="268"/>
      <c r="H1" s="268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68" t="s">
        <v>2</v>
      </c>
      <c r="B2" s="268"/>
      <c r="C2" s="268"/>
      <c r="D2" s="268"/>
      <c r="E2" s="268"/>
      <c r="F2" s="268"/>
      <c r="G2" s="268"/>
      <c r="H2" s="268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69"/>
      <c r="C5" s="269"/>
      <c r="D5" s="269"/>
      <c r="E5" s="269"/>
      <c r="F5" s="269"/>
      <c r="G5" s="269"/>
      <c r="H5" s="269"/>
      <c r="I5" s="269"/>
      <c r="J5" s="269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70" t="s">
        <v>7</v>
      </c>
      <c r="B8" s="270"/>
      <c r="C8" s="270"/>
      <c r="D8" s="270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30" t="s">
        <v>138</v>
      </c>
      <c r="K8" s="230"/>
      <c r="L8" s="230"/>
      <c r="M8" s="230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1"/>
      <c r="B9" s="272"/>
      <c r="C9" s="272"/>
      <c r="D9" s="273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62"/>
      <c r="B10" s="263"/>
      <c r="C10" s="263"/>
      <c r="D10" s="264"/>
      <c r="E10" s="4" t="s">
        <v>11</v>
      </c>
      <c r="F10" s="128"/>
      <c r="G10" s="129"/>
      <c r="H10" s="148">
        <f t="shared" ref="H10:H1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2"/>
      <c r="B11" s="263"/>
      <c r="C11" s="263"/>
      <c r="D11" s="264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2"/>
      <c r="B12" s="263"/>
      <c r="C12" s="263"/>
      <c r="D12" s="264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2"/>
      <c r="B13" s="263"/>
      <c r="C13" s="263"/>
      <c r="D13" s="264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2"/>
      <c r="B14" s="263"/>
      <c r="C14" s="263"/>
      <c r="D14" s="264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2"/>
      <c r="B15" s="263"/>
      <c r="C15" s="263"/>
      <c r="D15" s="264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2"/>
      <c r="B16" s="263"/>
      <c r="C16" s="263"/>
      <c r="D16" s="264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2"/>
      <c r="B17" s="263"/>
      <c r="C17" s="263"/>
      <c r="D17" s="264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2"/>
      <c r="B18" s="263"/>
      <c r="C18" s="263"/>
      <c r="D18" s="264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2"/>
      <c r="B19" s="263"/>
      <c r="C19" s="263"/>
      <c r="D19" s="264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2"/>
      <c r="B20" s="263"/>
      <c r="C20" s="263"/>
      <c r="D20" s="264"/>
      <c r="E20" s="4" t="s">
        <v>11</v>
      </c>
      <c r="F20" s="128"/>
      <c r="G20" s="129"/>
      <c r="H20" s="148">
        <f t="shared" ref="H20:H26" si="1">G20*F20</f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2"/>
      <c r="B21" s="263"/>
      <c r="C21" s="263"/>
      <c r="D21" s="264"/>
      <c r="E21" s="4" t="s">
        <v>11</v>
      </c>
      <c r="F21" s="128"/>
      <c r="G21" s="129"/>
      <c r="H21" s="148">
        <f t="shared" si="1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2"/>
      <c r="B22" s="263"/>
      <c r="C22" s="263"/>
      <c r="D22" s="264"/>
      <c r="E22" s="4" t="s">
        <v>11</v>
      </c>
      <c r="F22" s="128"/>
      <c r="G22" s="129"/>
      <c r="H22" s="148">
        <f t="shared" si="1"/>
        <v>0</v>
      </c>
      <c r="I22" s="134"/>
      <c r="J22" s="16"/>
      <c r="K22" s="139"/>
      <c r="L22" s="233" t="s">
        <v>163</v>
      </c>
      <c r="M22" s="233"/>
      <c r="N22" s="233"/>
      <c r="O22" s="233"/>
      <c r="P22" s="233"/>
      <c r="Q22" s="233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2"/>
      <c r="B23" s="263"/>
      <c r="C23" s="263"/>
      <c r="D23" s="264"/>
      <c r="E23" s="4" t="s">
        <v>11</v>
      </c>
      <c r="F23" s="128"/>
      <c r="G23" s="129"/>
      <c r="H23" s="148">
        <f t="shared" si="1"/>
        <v>0</v>
      </c>
      <c r="I23" s="134"/>
      <c r="J23" s="16"/>
      <c r="K23" s="139"/>
      <c r="L23" s="233"/>
      <c r="M23" s="233"/>
      <c r="N23" s="233"/>
      <c r="O23" s="233"/>
      <c r="P23" s="233"/>
      <c r="Q23" s="233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2"/>
      <c r="B24" s="263"/>
      <c r="C24" s="263"/>
      <c r="D24" s="264"/>
      <c r="E24" s="4" t="s">
        <v>11</v>
      </c>
      <c r="F24" s="128"/>
      <c r="G24" s="129"/>
      <c r="H24" s="148">
        <f t="shared" si="1"/>
        <v>0</v>
      </c>
      <c r="I24" s="134"/>
      <c r="J24" s="16"/>
      <c r="K24" s="139"/>
      <c r="L24" s="233"/>
      <c r="M24" s="233"/>
      <c r="N24" s="233"/>
      <c r="O24" s="233"/>
      <c r="P24" s="233"/>
      <c r="Q24" s="233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2"/>
      <c r="B25" s="263"/>
      <c r="C25" s="263"/>
      <c r="D25" s="264"/>
      <c r="E25" s="4" t="s">
        <v>11</v>
      </c>
      <c r="F25" s="128"/>
      <c r="G25" s="129"/>
      <c r="H25" s="148">
        <f t="shared" si="1"/>
        <v>0</v>
      </c>
      <c r="I25" s="134"/>
      <c r="J25" s="16"/>
      <c r="K25" s="139"/>
      <c r="L25" s="233"/>
      <c r="M25" s="233"/>
      <c r="N25" s="233"/>
      <c r="O25" s="233"/>
      <c r="P25" s="233"/>
      <c r="Q25" s="233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2"/>
      <c r="B26" s="263"/>
      <c r="C26" s="263"/>
      <c r="D26" s="264"/>
      <c r="E26" s="4" t="s">
        <v>11</v>
      </c>
      <c r="F26" s="128"/>
      <c r="G26" s="129"/>
      <c r="H26" s="148">
        <f t="shared" si="1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34" t="s">
        <v>14</v>
      </c>
      <c r="P29" s="235"/>
      <c r="Q29" s="235"/>
      <c r="R29" s="235"/>
      <c r="S29" s="235"/>
      <c r="T29" s="235"/>
      <c r="U29" s="236"/>
      <c r="V29" s="265" t="s">
        <v>15</v>
      </c>
      <c r="W29" s="265"/>
      <c r="X29" s="266"/>
      <c r="Y29" s="1" t="s">
        <v>162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7" t="s">
        <v>16</v>
      </c>
      <c r="B30" s="267"/>
      <c r="C30" s="267"/>
      <c r="D30" s="267"/>
      <c r="E30" s="121" t="s">
        <v>8</v>
      </c>
      <c r="F30" s="121" t="s">
        <v>9</v>
      </c>
      <c r="G30" s="121" t="s">
        <v>164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165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3" t="s">
        <v>30</v>
      </c>
      <c r="B31" s="244"/>
      <c r="C31" s="244"/>
      <c r="D31" s="245"/>
      <c r="E31" s="124" t="s">
        <v>28</v>
      </c>
      <c r="F31" s="128"/>
      <c r="G31" s="12">
        <v>390.39</v>
      </c>
      <c r="H31" s="12">
        <f t="shared" ref="H31:H44" si="2">F31*G31</f>
        <v>0</v>
      </c>
      <c r="I31" s="128"/>
      <c r="J31" s="13">
        <v>358.81</v>
      </c>
      <c r="K31" s="13">
        <f t="shared" ref="K31:K53" si="3">I31*J31</f>
        <v>0</v>
      </c>
      <c r="L31" s="129"/>
      <c r="M31" s="13">
        <v>538.27</v>
      </c>
      <c r="N31" s="13">
        <f t="shared" ref="N31:N53" si="4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5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59" t="s">
        <v>168</v>
      </c>
      <c r="B32" s="259"/>
      <c r="C32" s="259"/>
      <c r="D32" s="259"/>
      <c r="E32" s="124" t="s">
        <v>28</v>
      </c>
      <c r="F32" s="128"/>
      <c r="G32" s="12">
        <v>243.45</v>
      </c>
      <c r="H32" s="12">
        <f t="shared" si="2"/>
        <v>0</v>
      </c>
      <c r="I32" s="128"/>
      <c r="J32" s="13">
        <v>211.59</v>
      </c>
      <c r="K32" s="13">
        <f t="shared" si="3"/>
        <v>0</v>
      </c>
      <c r="L32" s="129"/>
      <c r="M32" s="13">
        <v>317.39</v>
      </c>
      <c r="N32" s="13">
        <f t="shared" si="4"/>
        <v>0</v>
      </c>
      <c r="O32" s="107"/>
      <c r="P32" s="107"/>
      <c r="Q32" s="107"/>
      <c r="R32" s="107"/>
      <c r="S32" s="107"/>
      <c r="T32" s="107"/>
      <c r="U32" s="107"/>
      <c r="V32" s="15">
        <f t="shared" si="5"/>
        <v>0</v>
      </c>
      <c r="W32" s="107"/>
      <c r="X32" s="107"/>
      <c r="Y32" s="16" t="s">
        <v>173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3" t="s">
        <v>31</v>
      </c>
      <c r="B33" s="244"/>
      <c r="C33" s="244"/>
      <c r="D33" s="245"/>
      <c r="E33" s="124" t="s">
        <v>28</v>
      </c>
      <c r="F33" s="128"/>
      <c r="G33" s="14">
        <v>390.39</v>
      </c>
      <c r="H33" s="12">
        <f t="shared" si="2"/>
        <v>0</v>
      </c>
      <c r="I33" s="128"/>
      <c r="J33" s="13">
        <v>358.81</v>
      </c>
      <c r="K33" s="13">
        <f t="shared" si="3"/>
        <v>0</v>
      </c>
      <c r="L33" s="129"/>
      <c r="M33" s="13">
        <v>538.22</v>
      </c>
      <c r="N33" s="13">
        <f t="shared" si="4"/>
        <v>0</v>
      </c>
      <c r="O33" s="107"/>
      <c r="P33" s="107"/>
      <c r="Q33" s="107"/>
      <c r="R33" s="107"/>
      <c r="S33" s="107"/>
      <c r="T33" s="107"/>
      <c r="U33" s="107"/>
      <c r="V33" s="15">
        <f t="shared" si="5"/>
        <v>0</v>
      </c>
      <c r="W33" s="107"/>
      <c r="X33" s="107"/>
      <c r="Y33" s="7" t="s">
        <v>166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3" t="s">
        <v>32</v>
      </c>
      <c r="B34" s="244"/>
      <c r="C34" s="244"/>
      <c r="D34" s="245"/>
      <c r="E34" s="124" t="s">
        <v>28</v>
      </c>
      <c r="F34" s="128"/>
      <c r="G34" s="14">
        <v>231.67</v>
      </c>
      <c r="H34" s="12">
        <f t="shared" si="2"/>
        <v>0</v>
      </c>
      <c r="I34" s="128"/>
      <c r="J34" s="13">
        <v>197.63</v>
      </c>
      <c r="K34" s="13">
        <f t="shared" si="3"/>
        <v>0</v>
      </c>
      <c r="L34" s="129"/>
      <c r="M34" s="13">
        <v>296.45</v>
      </c>
      <c r="N34" s="13">
        <f t="shared" si="4"/>
        <v>0</v>
      </c>
      <c r="O34" s="107"/>
      <c r="P34" s="107"/>
      <c r="Q34" s="107"/>
      <c r="R34" s="107"/>
      <c r="S34" s="107"/>
      <c r="T34" s="107"/>
      <c r="U34" s="107"/>
      <c r="V34" s="15">
        <f t="shared" si="5"/>
        <v>0</v>
      </c>
      <c r="W34" s="107"/>
      <c r="X34" s="107"/>
      <c r="Y34" s="104" t="s">
        <v>167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3" t="s">
        <v>33</v>
      </c>
      <c r="B35" s="244"/>
      <c r="C35" s="244"/>
      <c r="D35" s="245"/>
      <c r="E35" s="124" t="s">
        <v>28</v>
      </c>
      <c r="F35" s="128"/>
      <c r="G35" s="14">
        <v>310.62</v>
      </c>
      <c r="H35" s="12">
        <f t="shared" ref="H35" si="6">F35*G35</f>
        <v>0</v>
      </c>
      <c r="I35" s="128"/>
      <c r="J35" s="13">
        <v>291.24</v>
      </c>
      <c r="K35" s="13">
        <f t="shared" si="3"/>
        <v>0</v>
      </c>
      <c r="L35" s="129"/>
      <c r="M35" s="13">
        <v>436.87</v>
      </c>
      <c r="N35" s="13">
        <f t="shared" si="4"/>
        <v>0</v>
      </c>
      <c r="O35" s="107"/>
      <c r="P35" s="107"/>
      <c r="Q35" s="107"/>
      <c r="R35" s="107"/>
      <c r="S35" s="107"/>
      <c r="T35" s="107"/>
      <c r="U35" s="107"/>
      <c r="V35" s="15">
        <f t="shared" si="5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3" t="s">
        <v>34</v>
      </c>
      <c r="B36" s="244"/>
      <c r="C36" s="244"/>
      <c r="D36" s="245"/>
      <c r="E36" s="124" t="s">
        <v>28</v>
      </c>
      <c r="F36" s="128"/>
      <c r="G36" s="14">
        <v>310.62</v>
      </c>
      <c r="H36" s="12">
        <f t="shared" si="2"/>
        <v>0</v>
      </c>
      <c r="I36" s="128"/>
      <c r="J36" s="13">
        <v>291.24</v>
      </c>
      <c r="K36" s="13">
        <f t="shared" si="3"/>
        <v>0</v>
      </c>
      <c r="L36" s="129"/>
      <c r="M36" s="13">
        <v>436.87</v>
      </c>
      <c r="N36" s="13">
        <f t="shared" si="4"/>
        <v>0</v>
      </c>
      <c r="O36" s="107"/>
      <c r="P36" s="107"/>
      <c r="Q36" s="107"/>
      <c r="R36" s="107"/>
      <c r="S36" s="107"/>
      <c r="T36" s="107"/>
      <c r="U36" s="107"/>
      <c r="V36" s="15">
        <f t="shared" si="5"/>
        <v>0</v>
      </c>
      <c r="W36" s="107"/>
      <c r="X36" s="107"/>
      <c r="Y36" s="16" t="s">
        <v>169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59" t="s">
        <v>129</v>
      </c>
      <c r="B37" s="259"/>
      <c r="C37" s="259"/>
      <c r="D37" s="259"/>
      <c r="E37" s="124" t="s">
        <v>28</v>
      </c>
      <c r="F37" s="128"/>
      <c r="G37" s="14"/>
      <c r="H37" s="12">
        <f t="shared" si="2"/>
        <v>0</v>
      </c>
      <c r="I37" s="128"/>
      <c r="J37" s="13">
        <v>0</v>
      </c>
      <c r="K37" s="13">
        <f t="shared" si="3"/>
        <v>0</v>
      </c>
      <c r="L37" s="129"/>
      <c r="M37" s="13">
        <v>0</v>
      </c>
      <c r="N37" s="13">
        <f t="shared" si="4"/>
        <v>0</v>
      </c>
      <c r="O37" s="107"/>
      <c r="P37" s="107"/>
      <c r="Q37" s="107"/>
      <c r="R37" s="107"/>
      <c r="S37" s="107"/>
      <c r="T37" s="108"/>
      <c r="U37" s="107"/>
      <c r="V37" s="15">
        <f t="shared" si="5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3" t="s">
        <v>35</v>
      </c>
      <c r="B38" s="244"/>
      <c r="C38" s="244"/>
      <c r="D38" s="245"/>
      <c r="E38" s="124" t="s">
        <v>28</v>
      </c>
      <c r="F38" s="128"/>
      <c r="G38" s="14">
        <v>199.6</v>
      </c>
      <c r="H38" s="14">
        <f t="shared" ref="H38" si="7">F38*G38</f>
        <v>0</v>
      </c>
      <c r="I38" s="128"/>
      <c r="J38" s="13">
        <v>159.6</v>
      </c>
      <c r="K38" s="13">
        <f t="shared" si="3"/>
        <v>0</v>
      </c>
      <c r="L38" s="129"/>
      <c r="M38" s="13">
        <v>239.4</v>
      </c>
      <c r="N38" s="13">
        <f t="shared" si="4"/>
        <v>0</v>
      </c>
      <c r="O38" s="107"/>
      <c r="P38" s="107"/>
      <c r="Q38" s="107"/>
      <c r="R38" s="107"/>
      <c r="S38" s="107"/>
      <c r="T38" s="108"/>
      <c r="U38" s="107"/>
      <c r="V38" s="15">
        <f t="shared" si="5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59" t="s">
        <v>130</v>
      </c>
      <c r="B39" s="259"/>
      <c r="C39" s="259"/>
      <c r="D39" s="259"/>
      <c r="E39" s="124" t="s">
        <v>28</v>
      </c>
      <c r="F39" s="128"/>
      <c r="G39" s="14">
        <v>199.6</v>
      </c>
      <c r="H39" s="14">
        <f t="shared" ref="H39" si="8">F39*G39</f>
        <v>0</v>
      </c>
      <c r="I39" s="128"/>
      <c r="J39" s="13">
        <v>159.6</v>
      </c>
      <c r="K39" s="13">
        <f t="shared" si="3"/>
        <v>0</v>
      </c>
      <c r="L39" s="129"/>
      <c r="M39" s="13">
        <v>239.4</v>
      </c>
      <c r="N39" s="13">
        <f t="shared" si="4"/>
        <v>0</v>
      </c>
      <c r="O39" s="107"/>
      <c r="P39" s="107"/>
      <c r="Q39" s="107"/>
      <c r="R39" s="107"/>
      <c r="S39" s="107"/>
      <c r="T39" s="108"/>
      <c r="U39" s="107"/>
      <c r="V39" s="15">
        <f t="shared" si="5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59" t="s">
        <v>36</v>
      </c>
      <c r="B40" s="259"/>
      <c r="C40" s="259"/>
      <c r="D40" s="259"/>
      <c r="E40" s="124" t="s">
        <v>28</v>
      </c>
      <c r="F40" s="128"/>
      <c r="G40" s="14">
        <v>199.6</v>
      </c>
      <c r="H40" s="14">
        <f t="shared" ref="H40" si="9">F40*G40</f>
        <v>0</v>
      </c>
      <c r="I40" s="128"/>
      <c r="J40" s="13">
        <v>159.6</v>
      </c>
      <c r="K40" s="13">
        <f t="shared" si="3"/>
        <v>0</v>
      </c>
      <c r="L40" s="129"/>
      <c r="M40" s="13">
        <v>239.4</v>
      </c>
      <c r="N40" s="13">
        <f t="shared" si="4"/>
        <v>0</v>
      </c>
      <c r="O40" s="107"/>
      <c r="P40" s="107"/>
      <c r="Q40" s="107"/>
      <c r="R40" s="107"/>
      <c r="S40" s="107"/>
      <c r="T40" s="108"/>
      <c r="U40" s="107"/>
      <c r="V40" s="15">
        <f t="shared" si="5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59" t="s">
        <v>37</v>
      </c>
      <c r="B41" s="259"/>
      <c r="C41" s="259"/>
      <c r="D41" s="259"/>
      <c r="E41" s="124" t="s">
        <v>28</v>
      </c>
      <c r="F41" s="128"/>
      <c r="G41" s="14">
        <v>211.15</v>
      </c>
      <c r="H41" s="12">
        <f t="shared" si="2"/>
        <v>0</v>
      </c>
      <c r="I41" s="128"/>
      <c r="J41" s="13">
        <v>173.29</v>
      </c>
      <c r="K41" s="13">
        <f t="shared" si="3"/>
        <v>0</v>
      </c>
      <c r="L41" s="129"/>
      <c r="M41" s="13">
        <v>259.94</v>
      </c>
      <c r="N41" s="13">
        <f t="shared" si="4"/>
        <v>0</v>
      </c>
      <c r="O41" s="107"/>
      <c r="P41" s="107"/>
      <c r="Q41" s="107"/>
      <c r="R41" s="107"/>
      <c r="S41" s="107"/>
      <c r="T41" s="108"/>
      <c r="U41" s="107"/>
      <c r="V41" s="15">
        <f t="shared" si="5"/>
        <v>0</v>
      </c>
      <c r="W41" s="107"/>
      <c r="X41" s="107"/>
      <c r="Y41" s="16" t="s">
        <v>171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59" t="s">
        <v>38</v>
      </c>
      <c r="B42" s="259"/>
      <c r="C42" s="259"/>
      <c r="D42" s="259"/>
      <c r="E42" s="124" t="s">
        <v>28</v>
      </c>
      <c r="F42" s="128"/>
      <c r="G42" s="14">
        <v>199.6</v>
      </c>
      <c r="H42" s="12">
        <f t="shared" ref="H42:H43" si="10">F42*G42</f>
        <v>0</v>
      </c>
      <c r="I42" s="128"/>
      <c r="J42" s="13">
        <v>159.6</v>
      </c>
      <c r="K42" s="13">
        <f t="shared" si="3"/>
        <v>0</v>
      </c>
      <c r="L42" s="129"/>
      <c r="M42" s="13">
        <v>239.4</v>
      </c>
      <c r="N42" s="13">
        <f t="shared" si="4"/>
        <v>0</v>
      </c>
      <c r="O42" s="107"/>
      <c r="P42" s="107"/>
      <c r="Q42" s="107"/>
      <c r="R42" s="107"/>
      <c r="S42" s="107"/>
      <c r="T42" s="108"/>
      <c r="U42" s="107"/>
      <c r="V42" s="15">
        <f t="shared" si="5"/>
        <v>0</v>
      </c>
      <c r="W42" s="107"/>
      <c r="X42" s="107"/>
      <c r="Y42" s="16" t="s">
        <v>170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59" t="s">
        <v>39</v>
      </c>
      <c r="B43" s="259"/>
      <c r="C43" s="259"/>
      <c r="D43" s="259"/>
      <c r="E43" s="124" t="s">
        <v>28</v>
      </c>
      <c r="F43" s="128"/>
      <c r="G43" s="14">
        <v>187.81</v>
      </c>
      <c r="H43" s="14">
        <f t="shared" si="10"/>
        <v>0</v>
      </c>
      <c r="I43" s="128"/>
      <c r="J43" s="13">
        <v>145.62</v>
      </c>
      <c r="K43" s="13">
        <f t="shared" si="3"/>
        <v>0</v>
      </c>
      <c r="L43" s="129"/>
      <c r="M43" s="13">
        <v>218.43</v>
      </c>
      <c r="N43" s="13">
        <f t="shared" si="4"/>
        <v>0</v>
      </c>
      <c r="O43" s="107"/>
      <c r="P43" s="107"/>
      <c r="Q43" s="107"/>
      <c r="R43" s="107"/>
      <c r="S43" s="107"/>
      <c r="T43" s="108"/>
      <c r="U43" s="107"/>
      <c r="V43" s="15">
        <f t="shared" si="5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3" t="s">
        <v>40</v>
      </c>
      <c r="B44" s="244"/>
      <c r="C44" s="244"/>
      <c r="D44" s="245"/>
      <c r="E44" s="124" t="s">
        <v>28</v>
      </c>
      <c r="F44" s="128"/>
      <c r="G44" s="14"/>
      <c r="H44" s="14">
        <f t="shared" si="2"/>
        <v>0</v>
      </c>
      <c r="I44" s="128"/>
      <c r="J44" s="13">
        <v>0</v>
      </c>
      <c r="K44" s="13">
        <f t="shared" si="3"/>
        <v>0</v>
      </c>
      <c r="L44" s="129"/>
      <c r="M44" s="13"/>
      <c r="N44" s="13">
        <f t="shared" si="4"/>
        <v>0</v>
      </c>
      <c r="O44" s="107"/>
      <c r="P44" s="107"/>
      <c r="Q44" s="107"/>
      <c r="R44" s="107"/>
      <c r="S44" s="107"/>
      <c r="T44" s="108"/>
      <c r="U44" s="107"/>
      <c r="V44" s="15">
        <f t="shared" si="5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3" t="s">
        <v>41</v>
      </c>
      <c r="B45" s="244"/>
      <c r="C45" s="244"/>
      <c r="D45" s="245"/>
      <c r="E45" s="124" t="s">
        <v>28</v>
      </c>
      <c r="F45" s="128"/>
      <c r="G45" s="14">
        <v>187.81</v>
      </c>
      <c r="H45" s="14">
        <f t="shared" ref="H45" si="11">F45*G45</f>
        <v>0</v>
      </c>
      <c r="I45" s="128"/>
      <c r="J45" s="13">
        <v>145.62</v>
      </c>
      <c r="K45" s="13">
        <f t="shared" si="3"/>
        <v>0</v>
      </c>
      <c r="L45" s="129"/>
      <c r="M45" s="13">
        <v>218.43</v>
      </c>
      <c r="N45" s="13">
        <f t="shared" si="4"/>
        <v>0</v>
      </c>
      <c r="O45" s="107"/>
      <c r="P45" s="107"/>
      <c r="Q45" s="107"/>
      <c r="R45" s="107"/>
      <c r="S45" s="107"/>
      <c r="T45" s="107"/>
      <c r="U45" s="107"/>
      <c r="V45" s="15">
        <f t="shared" si="5"/>
        <v>0</v>
      </c>
      <c r="W45" s="107"/>
      <c r="X45" s="107"/>
      <c r="Y45" s="16" t="s">
        <v>172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3" t="s">
        <v>42</v>
      </c>
      <c r="B46" s="244"/>
      <c r="C46" s="244"/>
      <c r="D46" s="245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3"/>
        <v>0</v>
      </c>
      <c r="L46" s="129"/>
      <c r="M46" s="13">
        <v>218.43</v>
      </c>
      <c r="N46" s="13">
        <f t="shared" si="4"/>
        <v>0</v>
      </c>
      <c r="O46" s="109"/>
      <c r="P46" s="109"/>
      <c r="Q46" s="109"/>
      <c r="R46" s="109"/>
      <c r="S46" s="109"/>
      <c r="T46" s="109"/>
      <c r="U46" s="107"/>
      <c r="V46" s="15">
        <f t="shared" si="5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6" t="s">
        <v>174</v>
      </c>
      <c r="B47" s="167"/>
      <c r="C47" s="167"/>
      <c r="D47" s="168"/>
      <c r="E47" s="124" t="s">
        <v>28</v>
      </c>
      <c r="F47" s="128"/>
      <c r="G47" s="12">
        <v>243.45</v>
      </c>
      <c r="H47" s="12">
        <f t="shared" ref="H47" si="12">F47*G47</f>
        <v>0</v>
      </c>
      <c r="I47" s="128"/>
      <c r="J47" s="13">
        <v>211.59</v>
      </c>
      <c r="K47" s="13">
        <f t="shared" ref="K47" si="13">I47*J47</f>
        <v>0</v>
      </c>
      <c r="L47" s="129"/>
      <c r="M47" s="13">
        <v>317.39</v>
      </c>
      <c r="N47" s="13">
        <f t="shared" ref="N47" si="14">L47*M47</f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175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59" t="s">
        <v>27</v>
      </c>
      <c r="B48" s="259"/>
      <c r="C48" s="259"/>
      <c r="D48" s="259"/>
      <c r="E48" s="124" t="s">
        <v>28</v>
      </c>
      <c r="F48" s="128"/>
      <c r="G48" s="12">
        <v>339.75</v>
      </c>
      <c r="H48" s="12">
        <f t="shared" ref="H48:H53" si="15">F48*G48</f>
        <v>0</v>
      </c>
      <c r="I48" s="128"/>
      <c r="J48" s="13">
        <v>325.79000000000002</v>
      </c>
      <c r="K48" s="13">
        <f t="shared" si="3"/>
        <v>0</v>
      </c>
      <c r="L48" s="129"/>
      <c r="M48" s="13">
        <v>488.68</v>
      </c>
      <c r="N48" s="13">
        <f t="shared" si="4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59" t="s">
        <v>29</v>
      </c>
      <c r="B49" s="259"/>
      <c r="C49" s="259"/>
      <c r="D49" s="259"/>
      <c r="E49" s="124" t="s">
        <v>28</v>
      </c>
      <c r="F49" s="128"/>
      <c r="G49" s="12">
        <v>339.75</v>
      </c>
      <c r="H49" s="12">
        <f t="shared" si="15"/>
        <v>0</v>
      </c>
      <c r="I49" s="128"/>
      <c r="J49" s="13">
        <v>325.79000000000002</v>
      </c>
      <c r="K49" s="13">
        <f t="shared" si="3"/>
        <v>0</v>
      </c>
      <c r="L49" s="129"/>
      <c r="M49" s="13">
        <v>488.68</v>
      </c>
      <c r="N49" s="13">
        <f t="shared" si="4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3" t="s">
        <v>43</v>
      </c>
      <c r="B50" s="244"/>
      <c r="C50" s="244"/>
      <c r="D50" s="245"/>
      <c r="E50" s="124" t="s">
        <v>28</v>
      </c>
      <c r="F50" s="128"/>
      <c r="G50" s="12">
        <v>339.75</v>
      </c>
      <c r="H50" s="12">
        <f t="shared" si="15"/>
        <v>0</v>
      </c>
      <c r="I50" s="128"/>
      <c r="J50" s="13">
        <v>325.79000000000002</v>
      </c>
      <c r="K50" s="13">
        <f t="shared" si="3"/>
        <v>0</v>
      </c>
      <c r="L50" s="129"/>
      <c r="M50" s="13">
        <v>488.68</v>
      </c>
      <c r="N50" s="13">
        <f t="shared" si="4"/>
        <v>0</v>
      </c>
      <c r="O50" s="107"/>
      <c r="P50" s="107"/>
      <c r="Q50" s="107"/>
      <c r="R50" s="107"/>
      <c r="S50" s="107"/>
      <c r="T50" s="107"/>
      <c r="U50" s="107"/>
      <c r="V50" s="15">
        <f t="shared" si="5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3" t="s">
        <v>44</v>
      </c>
      <c r="B51" s="244"/>
      <c r="C51" s="244"/>
      <c r="D51" s="245"/>
      <c r="E51" s="124" t="s">
        <v>28</v>
      </c>
      <c r="F51" s="128"/>
      <c r="G51" s="12">
        <v>339.75</v>
      </c>
      <c r="H51" s="12">
        <f t="shared" si="15"/>
        <v>0</v>
      </c>
      <c r="I51" s="128"/>
      <c r="J51" s="13">
        <v>325.79000000000002</v>
      </c>
      <c r="K51" s="13">
        <f t="shared" si="3"/>
        <v>0</v>
      </c>
      <c r="L51" s="129"/>
      <c r="M51" s="13">
        <v>488.68</v>
      </c>
      <c r="N51" s="13">
        <f t="shared" si="4"/>
        <v>0</v>
      </c>
      <c r="O51" s="107"/>
      <c r="P51" s="107"/>
      <c r="Q51" s="107"/>
      <c r="R51" s="107"/>
      <c r="S51" s="107"/>
      <c r="T51" s="107"/>
      <c r="U51" s="107"/>
      <c r="V51" s="15">
        <f t="shared" si="5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3" t="s">
        <v>45</v>
      </c>
      <c r="B52" s="244"/>
      <c r="C52" s="244"/>
      <c r="D52" s="245"/>
      <c r="E52" s="124" t="s">
        <v>28</v>
      </c>
      <c r="F52" s="128"/>
      <c r="G52" s="14">
        <v>1004.49</v>
      </c>
      <c r="H52" s="14">
        <f t="shared" si="15"/>
        <v>0</v>
      </c>
      <c r="I52" s="128"/>
      <c r="J52" s="13">
        <v>1164.98</v>
      </c>
      <c r="K52" s="13">
        <f t="shared" si="3"/>
        <v>0</v>
      </c>
      <c r="L52" s="129"/>
      <c r="M52" s="13">
        <v>1747.46</v>
      </c>
      <c r="N52" s="13">
        <f t="shared" si="4"/>
        <v>0</v>
      </c>
      <c r="O52" s="107"/>
      <c r="P52" s="107"/>
      <c r="Q52" s="107"/>
      <c r="R52" s="107"/>
      <c r="S52" s="107"/>
      <c r="T52" s="107"/>
      <c r="U52" s="107"/>
      <c r="V52" s="15">
        <f t="shared" si="5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3" t="s">
        <v>46</v>
      </c>
      <c r="B53" s="244"/>
      <c r="C53" s="244"/>
      <c r="D53" s="245"/>
      <c r="E53" s="124" t="s">
        <v>28</v>
      </c>
      <c r="F53" s="128"/>
      <c r="G53" s="14"/>
      <c r="H53" s="14">
        <f t="shared" si="15"/>
        <v>0</v>
      </c>
      <c r="I53" s="128"/>
      <c r="J53" s="13">
        <f t="shared" ref="J53" si="16">G53*1.5</f>
        <v>0</v>
      </c>
      <c r="K53" s="13">
        <f t="shared" si="3"/>
        <v>0</v>
      </c>
      <c r="L53" s="129"/>
      <c r="M53" s="13">
        <f t="shared" ref="M53" si="17">G53*2.25</f>
        <v>0</v>
      </c>
      <c r="N53" s="13">
        <f t="shared" si="4"/>
        <v>0</v>
      </c>
      <c r="O53" s="107"/>
      <c r="P53" s="107"/>
      <c r="Q53" s="107"/>
      <c r="R53" s="107"/>
      <c r="S53" s="107"/>
      <c r="T53" s="107"/>
      <c r="U53" s="107"/>
      <c r="V53" s="15">
        <f t="shared" si="5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0" t="s">
        <v>50</v>
      </c>
      <c r="B56" s="260"/>
      <c r="C56" s="260"/>
      <c r="D56" s="260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1" t="s">
        <v>52</v>
      </c>
      <c r="B58" s="261"/>
      <c r="C58" s="261"/>
      <c r="D58" s="261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4" t="s">
        <v>7</v>
      </c>
      <c r="B59" s="254"/>
      <c r="C59" s="254"/>
      <c r="D59" s="254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56" t="s">
        <v>134</v>
      </c>
      <c r="B60" s="257"/>
      <c r="C60" s="257"/>
      <c r="D60" s="257"/>
      <c r="E60" s="31" t="s">
        <v>57</v>
      </c>
      <c r="F60" s="146">
        <v>0</v>
      </c>
      <c r="G60" s="127">
        <v>170</v>
      </c>
      <c r="H60" s="127">
        <f t="shared" ref="H60:H66" si="1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56" t="s">
        <v>135</v>
      </c>
      <c r="B61" s="257"/>
      <c r="C61" s="257"/>
      <c r="D61" s="257"/>
      <c r="E61" s="31" t="s">
        <v>57</v>
      </c>
      <c r="F61" s="146"/>
      <c r="G61" s="127">
        <v>150</v>
      </c>
      <c r="H61" s="127">
        <f t="shared" si="1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56" t="s">
        <v>58</v>
      </c>
      <c r="B62" s="257"/>
      <c r="C62" s="257"/>
      <c r="D62" s="257"/>
      <c r="E62" s="31" t="s">
        <v>57</v>
      </c>
      <c r="F62" s="146">
        <v>0</v>
      </c>
      <c r="G62" s="127">
        <v>80</v>
      </c>
      <c r="H62" s="127">
        <f t="shared" si="1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56" t="s">
        <v>136</v>
      </c>
      <c r="B63" s="257"/>
      <c r="C63" s="257"/>
      <c r="D63" s="257"/>
      <c r="E63" s="31" t="s">
        <v>57</v>
      </c>
      <c r="F63" s="146">
        <v>0</v>
      </c>
      <c r="G63" s="127">
        <v>150</v>
      </c>
      <c r="H63" s="127">
        <f t="shared" si="1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56" t="s">
        <v>184</v>
      </c>
      <c r="B64" s="257"/>
      <c r="C64" s="257"/>
      <c r="D64" s="257"/>
      <c r="E64" s="31" t="s">
        <v>57</v>
      </c>
      <c r="F64" s="146">
        <v>19</v>
      </c>
      <c r="G64" s="127">
        <v>450</v>
      </c>
      <c r="H64" s="127">
        <f t="shared" si="18"/>
        <v>8550</v>
      </c>
      <c r="I64" s="30"/>
      <c r="J64" s="31"/>
      <c r="K64" s="31"/>
      <c r="L64" s="31"/>
      <c r="M64" s="31">
        <f t="shared" ref="M64:M66" si="1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56"/>
      <c r="B65" s="257"/>
      <c r="C65" s="257"/>
      <c r="D65" s="257"/>
      <c r="E65" s="31" t="s">
        <v>59</v>
      </c>
      <c r="F65" s="146">
        <v>0</v>
      </c>
      <c r="G65" s="127"/>
      <c r="H65" s="127">
        <f t="shared" si="18"/>
        <v>0</v>
      </c>
      <c r="I65" s="30"/>
      <c r="J65" s="31"/>
      <c r="K65" s="31"/>
      <c r="L65" s="31"/>
      <c r="M65" s="31">
        <f t="shared" si="1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56" t="s">
        <v>60</v>
      </c>
      <c r="B66" s="257"/>
      <c r="C66" s="257"/>
      <c r="D66" s="257"/>
      <c r="E66" s="31" t="s">
        <v>61</v>
      </c>
      <c r="F66" s="146">
        <v>0</v>
      </c>
      <c r="G66" s="127">
        <v>2.5</v>
      </c>
      <c r="H66" s="127">
        <f t="shared" si="18"/>
        <v>0</v>
      </c>
      <c r="I66" s="30"/>
      <c r="J66" s="31"/>
      <c r="K66" s="31"/>
      <c r="L66" s="31"/>
      <c r="M66" s="31">
        <f t="shared" si="1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8550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2" t="s">
        <v>63</v>
      </c>
      <c r="B68" s="25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4" t="s">
        <v>7</v>
      </c>
      <c r="B69" s="254"/>
      <c r="C69" s="254"/>
      <c r="D69" s="254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7" t="s">
        <v>67</v>
      </c>
      <c r="B70" s="238"/>
      <c r="C70" s="238"/>
      <c r="D70" s="258"/>
      <c r="E70" s="32" t="s">
        <v>68</v>
      </c>
      <c r="F70" s="147">
        <v>0</v>
      </c>
      <c r="G70" s="30">
        <v>23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7" t="s">
        <v>69</v>
      </c>
      <c r="B71" s="238"/>
      <c r="C71" s="238"/>
      <c r="D71" s="258"/>
      <c r="E71" s="32" t="s">
        <v>68</v>
      </c>
      <c r="F71" s="147">
        <v>120</v>
      </c>
      <c r="G71" s="29">
        <v>25</v>
      </c>
      <c r="H71" s="33">
        <f>F71*G71</f>
        <v>3000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3000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2" t="s">
        <v>71</v>
      </c>
      <c r="B73" s="25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4" t="s">
        <v>7</v>
      </c>
      <c r="B74" s="254"/>
      <c r="C74" s="254"/>
      <c r="D74" s="254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9.899999999999999" customHeight="1" x14ac:dyDescent="0.25">
      <c r="A75" s="237" t="s">
        <v>72</v>
      </c>
      <c r="B75" s="238"/>
      <c r="C75" s="238"/>
      <c r="D75" s="238"/>
      <c r="E75" s="32" t="s">
        <v>73</v>
      </c>
      <c r="F75" s="128">
        <v>2</v>
      </c>
      <c r="G75" s="29">
        <v>100</v>
      </c>
      <c r="H75" s="33">
        <f>F75*G75</f>
        <v>200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9.899999999999999" customHeight="1" x14ac:dyDescent="0.25">
      <c r="A76" s="237" t="s">
        <v>74</v>
      </c>
      <c r="B76" s="238"/>
      <c r="C76" s="238"/>
      <c r="D76" s="238"/>
      <c r="E76" s="32" t="s">
        <v>73</v>
      </c>
      <c r="F76" s="128">
        <v>2</v>
      </c>
      <c r="G76" s="29">
        <v>450</v>
      </c>
      <c r="H76" s="33">
        <f>F76*G76</f>
        <v>900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75</v>
      </c>
      <c r="H77" s="34">
        <f>SUM(H75:H76)</f>
        <v>1100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76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2" t="s">
        <v>77</v>
      </c>
      <c r="B79" s="252"/>
      <c r="C79" s="16"/>
      <c r="D79" s="16"/>
      <c r="E79" s="16"/>
      <c r="F79" s="16"/>
      <c r="G79" s="16"/>
      <c r="H79" s="16"/>
      <c r="I79" s="16"/>
      <c r="J79" s="253"/>
      <c r="K79" s="25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4" t="s">
        <v>7</v>
      </c>
      <c r="B80" s="254"/>
      <c r="C80" s="254"/>
      <c r="D80" s="254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38" t="s">
        <v>78</v>
      </c>
      <c r="B81" s="238"/>
      <c r="C81" s="238"/>
      <c r="D81" s="238"/>
      <c r="E81" s="39" t="s">
        <v>11</v>
      </c>
      <c r="F81" s="128">
        <v>6</v>
      </c>
      <c r="G81" s="29">
        <v>600</v>
      </c>
      <c r="H81" s="20">
        <f>F81*G81</f>
        <v>3600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3600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2" t="s">
        <v>79</v>
      </c>
      <c r="B83" s="252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4" t="s">
        <v>7</v>
      </c>
      <c r="B84" s="254"/>
      <c r="C84" s="254"/>
      <c r="D84" s="254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7" t="s">
        <v>80</v>
      </c>
      <c r="B85" s="238"/>
      <c r="C85" s="238"/>
      <c r="D85" s="238"/>
      <c r="E85" s="32" t="s">
        <v>81</v>
      </c>
      <c r="F85" s="128">
        <v>2</v>
      </c>
      <c r="G85" s="29">
        <v>1000</v>
      </c>
      <c r="H85" s="20">
        <f>F85*G85</f>
        <v>2000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82</v>
      </c>
      <c r="H86" s="34">
        <f>SUM(H85)</f>
        <v>2000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83</v>
      </c>
      <c r="H87" s="34">
        <f>H67+H72+H77+H82+H86+H56+H55+H27</f>
        <v>18250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84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5" t="s">
        <v>7</v>
      </c>
      <c r="B89" s="255"/>
      <c r="C89" s="255"/>
      <c r="D89" s="255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85</v>
      </c>
      <c r="J89" s="46"/>
      <c r="K89" s="46" t="s">
        <v>86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7" t="s">
        <v>87</v>
      </c>
      <c r="B90" s="238"/>
      <c r="C90" s="238"/>
      <c r="D90" s="238"/>
      <c r="E90" s="123" t="s">
        <v>88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7" t="s">
        <v>89</v>
      </c>
      <c r="B91" s="238"/>
      <c r="C91" s="238"/>
      <c r="D91" s="238"/>
      <c r="E91" s="123" t="s">
        <v>88</v>
      </c>
      <c r="F91" s="128"/>
      <c r="G91" s="36">
        <v>2000</v>
      </c>
      <c r="H91" s="48">
        <f t="shared" ref="H91:H108" si="2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7" t="s">
        <v>90</v>
      </c>
      <c r="B92" s="238"/>
      <c r="C92" s="238"/>
      <c r="D92" s="238"/>
      <c r="E92" s="123" t="s">
        <v>88</v>
      </c>
      <c r="F92" s="128"/>
      <c r="G92" s="36">
        <v>7000</v>
      </c>
      <c r="H92" s="48">
        <f t="shared" si="2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7" t="s">
        <v>91</v>
      </c>
      <c r="B93" s="238"/>
      <c r="C93" s="238"/>
      <c r="D93" s="238"/>
      <c r="E93" s="123" t="s">
        <v>88</v>
      </c>
      <c r="F93" s="128"/>
      <c r="G93" s="36">
        <v>15200</v>
      </c>
      <c r="H93" s="48">
        <f t="shared" si="2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46" t="s">
        <v>92</v>
      </c>
      <c r="B94" s="247"/>
      <c r="C94" s="247"/>
      <c r="D94" s="247"/>
      <c r="E94" s="52" t="s">
        <v>88</v>
      </c>
      <c r="F94" s="128"/>
      <c r="G94" s="53">
        <v>2200</v>
      </c>
      <c r="H94" s="54">
        <f t="shared" si="2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7" t="s">
        <v>93</v>
      </c>
      <c r="B95" s="238"/>
      <c r="C95" s="238"/>
      <c r="D95" s="238"/>
      <c r="E95" s="123" t="s">
        <v>88</v>
      </c>
      <c r="F95" s="128"/>
      <c r="G95" s="36">
        <v>2000</v>
      </c>
      <c r="H95" s="48">
        <f t="shared" si="2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46" t="s">
        <v>94</v>
      </c>
      <c r="B96" s="247"/>
      <c r="C96" s="247"/>
      <c r="D96" s="247"/>
      <c r="E96" s="52" t="s">
        <v>88</v>
      </c>
      <c r="F96" s="128"/>
      <c r="G96" s="53">
        <v>2500</v>
      </c>
      <c r="H96" s="54">
        <f t="shared" si="2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7" t="s">
        <v>95</v>
      </c>
      <c r="B97" s="238"/>
      <c r="C97" s="238"/>
      <c r="D97" s="238"/>
      <c r="E97" s="123" t="s">
        <v>88</v>
      </c>
      <c r="F97" s="128"/>
      <c r="G97" s="36">
        <v>1600</v>
      </c>
      <c r="H97" s="48">
        <f t="shared" si="2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48" t="s">
        <v>96</v>
      </c>
      <c r="B98" s="249"/>
      <c r="C98" s="249"/>
      <c r="D98" s="249"/>
      <c r="E98" s="56" t="s">
        <v>88</v>
      </c>
      <c r="F98" s="128"/>
      <c r="G98" s="57">
        <v>1100</v>
      </c>
      <c r="H98" s="58">
        <f t="shared" si="2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7" t="s">
        <v>97</v>
      </c>
      <c r="B99" s="238"/>
      <c r="C99" s="238"/>
      <c r="D99" s="238"/>
      <c r="E99" s="123" t="s">
        <v>88</v>
      </c>
      <c r="F99" s="128"/>
      <c r="G99" s="36">
        <v>2700</v>
      </c>
      <c r="H99" s="48">
        <f t="shared" si="2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39" t="s">
        <v>98</v>
      </c>
      <c r="B100" s="240"/>
      <c r="C100" s="240"/>
      <c r="D100" s="241"/>
      <c r="E100" s="123" t="s">
        <v>88</v>
      </c>
      <c r="F100" s="128"/>
      <c r="G100" s="36">
        <v>2500</v>
      </c>
      <c r="H100" s="48">
        <f t="shared" si="2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7" t="s">
        <v>99</v>
      </c>
      <c r="B101" s="238"/>
      <c r="C101" s="238"/>
      <c r="D101" s="238"/>
      <c r="E101" s="123" t="s">
        <v>88</v>
      </c>
      <c r="F101" s="128"/>
      <c r="G101" s="36">
        <v>13373</v>
      </c>
      <c r="H101" s="48">
        <f t="shared" si="2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39" t="s">
        <v>100</v>
      </c>
      <c r="B102" s="240"/>
      <c r="C102" s="240"/>
      <c r="D102" s="241"/>
      <c r="E102" s="123" t="s">
        <v>88</v>
      </c>
      <c r="F102" s="128"/>
      <c r="G102" s="36">
        <v>800</v>
      </c>
      <c r="H102" s="48">
        <f t="shared" si="2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0" t="s">
        <v>101</v>
      </c>
      <c r="B103" s="251"/>
      <c r="C103" s="251"/>
      <c r="D103" s="251"/>
      <c r="E103" s="4" t="s">
        <v>88</v>
      </c>
      <c r="F103" s="128"/>
      <c r="G103" s="31">
        <v>1900</v>
      </c>
      <c r="H103" s="60">
        <f t="shared" si="2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7" t="s">
        <v>102</v>
      </c>
      <c r="B104" s="238"/>
      <c r="C104" s="238"/>
      <c r="D104" s="238"/>
      <c r="E104" s="123" t="s">
        <v>88</v>
      </c>
      <c r="F104" s="128"/>
      <c r="G104" s="36">
        <v>2000</v>
      </c>
      <c r="H104" s="48">
        <f t="shared" si="2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7" t="s">
        <v>103</v>
      </c>
      <c r="B105" s="238"/>
      <c r="C105" s="238"/>
      <c r="D105" s="238"/>
      <c r="E105" s="123" t="s">
        <v>88</v>
      </c>
      <c r="F105" s="128"/>
      <c r="G105" s="36">
        <v>200</v>
      </c>
      <c r="H105" s="48">
        <f t="shared" si="2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39" t="s">
        <v>104</v>
      </c>
      <c r="B106" s="240"/>
      <c r="C106" s="240"/>
      <c r="D106" s="241"/>
      <c r="E106" s="123" t="s">
        <v>88</v>
      </c>
      <c r="F106" s="128"/>
      <c r="G106" s="36">
        <v>1100</v>
      </c>
      <c r="H106" s="48">
        <f t="shared" si="2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2" t="s">
        <v>105</v>
      </c>
      <c r="B107" s="242"/>
      <c r="C107" s="242"/>
      <c r="D107" s="242"/>
      <c r="E107" s="63" t="s">
        <v>88</v>
      </c>
      <c r="F107" s="128"/>
      <c r="G107" s="36">
        <v>2200</v>
      </c>
      <c r="H107" s="48">
        <f t="shared" si="2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3" t="s">
        <v>106</v>
      </c>
      <c r="B108" s="244"/>
      <c r="C108" s="244"/>
      <c r="D108" s="245"/>
      <c r="E108" s="4" t="s">
        <v>88</v>
      </c>
      <c r="F108" s="128"/>
      <c r="G108" s="31">
        <v>1420</v>
      </c>
      <c r="H108" s="60">
        <f t="shared" si="2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7" t="s">
        <v>107</v>
      </c>
      <c r="B109" s="238"/>
      <c r="C109" s="238"/>
      <c r="D109" s="238"/>
      <c r="E109" s="123" t="s">
        <v>88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108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31" t="s">
        <v>131</v>
      </c>
      <c r="J112" s="224" t="s">
        <v>109</v>
      </c>
      <c r="K112" s="226"/>
      <c r="L112" s="16"/>
      <c r="M112" s="7"/>
      <c r="N112" s="227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28" t="s">
        <v>110</v>
      </c>
      <c r="G113" s="229"/>
      <c r="H113" s="73">
        <f>H87+H110</f>
        <v>18250</v>
      </c>
      <c r="I113" s="232"/>
      <c r="J113" s="225"/>
      <c r="K113" s="226"/>
      <c r="L113" s="16"/>
      <c r="M113" s="7"/>
      <c r="N113" s="22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178</v>
      </c>
      <c r="E114" s="27"/>
      <c r="F114" s="74" t="s">
        <v>111</v>
      </c>
      <c r="G114" s="171">
        <v>1.1000000000000001</v>
      </c>
      <c r="H114" s="116">
        <f>H113*G114-H113</f>
        <v>1825</v>
      </c>
      <c r="I114" s="115">
        <f>+(H121-K120)*0.23</f>
        <v>1377.829375</v>
      </c>
      <c r="J114" s="117">
        <f>H114-M120</f>
        <v>976.375</v>
      </c>
      <c r="K114" s="9"/>
      <c r="L114" s="9"/>
      <c r="M114" s="9"/>
      <c r="N114" s="126" t="s">
        <v>176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112</v>
      </c>
      <c r="G115" s="78"/>
      <c r="H115" s="13">
        <f>H113+H114</f>
        <v>20075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114</v>
      </c>
      <c r="G116" s="82">
        <v>0.05</v>
      </c>
      <c r="H116" s="13">
        <f>H115*G116</f>
        <v>1003.75</v>
      </c>
      <c r="I116" s="83"/>
      <c r="J116" s="80"/>
      <c r="K116" s="81" t="s">
        <v>113</v>
      </c>
      <c r="L116" s="111" t="s">
        <v>132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116</v>
      </c>
      <c r="G117" s="77"/>
      <c r="H117" s="13">
        <f>H115+H116</f>
        <v>21078.75</v>
      </c>
      <c r="I117" s="80"/>
      <c r="J117" s="80" t="s">
        <v>115</v>
      </c>
      <c r="K117" s="6">
        <f>+H27</f>
        <v>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9">
        <v>0.27500000000000002</v>
      </c>
      <c r="F118" s="124" t="s">
        <v>118</v>
      </c>
      <c r="G118" s="82">
        <v>0.15</v>
      </c>
      <c r="H118" s="13">
        <f>H117*G118</f>
        <v>3161.8125</v>
      </c>
      <c r="I118" s="80"/>
      <c r="J118" s="80" t="s">
        <v>117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120</v>
      </c>
      <c r="G119" s="74"/>
      <c r="H119" s="85">
        <f>H117+H118</f>
        <v>24240.5625</v>
      </c>
      <c r="I119" s="13"/>
      <c r="J119" s="80" t="s">
        <v>119</v>
      </c>
      <c r="K119" s="6">
        <f>H87-H57</f>
        <v>18250</v>
      </c>
      <c r="L119" s="112"/>
      <c r="M119" s="84" t="s">
        <v>128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121</v>
      </c>
      <c r="J120" s="86" t="s">
        <v>56</v>
      </c>
      <c r="K120" s="6">
        <f>SUM(K117:K119)</f>
        <v>18250</v>
      </c>
      <c r="L120" s="113">
        <f>H119-H118</f>
        <v>21078.75</v>
      </c>
      <c r="M120" s="114">
        <f>+(L120-K120)*0.3</f>
        <v>848.625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122</v>
      </c>
      <c r="C121" s="16"/>
      <c r="D121" s="16"/>
      <c r="E121" s="16"/>
      <c r="F121" s="124" t="s">
        <v>127</v>
      </c>
      <c r="G121" s="90"/>
      <c r="H121" s="98">
        <f>H119+H120</f>
        <v>24240.5625</v>
      </c>
      <c r="I121" s="13"/>
      <c r="J121" s="89">
        <f>H119/H113</f>
        <v>1.3282499999999999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177</v>
      </c>
      <c r="C122" s="139" t="s">
        <v>124</v>
      </c>
      <c r="D122" s="140" t="s">
        <v>125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0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9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10:D10"/>
    <mergeCell ref="A11:D11"/>
    <mergeCell ref="A12:D12"/>
    <mergeCell ref="A13:D13"/>
    <mergeCell ref="A18:D18"/>
    <mergeCell ref="A14:D14"/>
    <mergeCell ref="A15:D15"/>
    <mergeCell ref="A16:D16"/>
    <mergeCell ref="A1:H1"/>
    <mergeCell ref="A2:H2"/>
    <mergeCell ref="B5:J5"/>
    <mergeCell ref="A8:D8"/>
    <mergeCell ref="A9:D9"/>
    <mergeCell ref="A21:D21"/>
    <mergeCell ref="A22:D22"/>
    <mergeCell ref="A23:D23"/>
    <mergeCell ref="A24:D24"/>
    <mergeCell ref="A17:D17"/>
    <mergeCell ref="A20:D20"/>
    <mergeCell ref="A19:D19"/>
    <mergeCell ref="A25:D25"/>
    <mergeCell ref="V29:X29"/>
    <mergeCell ref="A30:D30"/>
    <mergeCell ref="A31:D31"/>
    <mergeCell ref="A32:D32"/>
    <mergeCell ref="A26:D26"/>
    <mergeCell ref="A33:D33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5:D105"/>
    <mergeCell ref="A106:D106"/>
    <mergeCell ref="A107:D107"/>
    <mergeCell ref="A108:D108"/>
    <mergeCell ref="A109:D109"/>
    <mergeCell ref="J112:J113"/>
    <mergeCell ref="K112:K113"/>
    <mergeCell ref="N112:N113"/>
    <mergeCell ref="F113:G113"/>
    <mergeCell ref="J8:M8"/>
    <mergeCell ref="I112:I113"/>
    <mergeCell ref="L22:Q25"/>
    <mergeCell ref="O29:U29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  <ignoredErrors>
    <ignoredError sqref="H116:H1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80" zoomScale="70" zoomScaleNormal="70" zoomScaleSheetLayoutView="70" workbookViewId="0">
      <selection activeCell="H97" sqref="H97"/>
    </sheetView>
  </sheetViews>
  <sheetFormatPr baseColWidth="10" defaultRowHeight="15" x14ac:dyDescent="0.25"/>
  <cols>
    <col min="4" max="4" width="14.7109375" customWidth="1"/>
    <col min="8" max="8" width="15.42578125" customWidth="1"/>
    <col min="10" max="10" width="13" customWidth="1"/>
    <col min="11" max="12" width="13.28515625" customWidth="1"/>
    <col min="13" max="13" width="12.5703125" customWidth="1"/>
  </cols>
  <sheetData>
    <row r="1" spans="1:72" ht="18.75" x14ac:dyDescent="0.3">
      <c r="A1" s="268" t="s">
        <v>1</v>
      </c>
      <c r="B1" s="268"/>
      <c r="C1" s="268"/>
      <c r="D1" s="268"/>
      <c r="E1" s="268"/>
      <c r="F1" s="268"/>
      <c r="G1" s="268"/>
      <c r="H1" s="268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68" t="s">
        <v>2</v>
      </c>
      <c r="B2" s="268"/>
      <c r="C2" s="268"/>
      <c r="D2" s="268"/>
      <c r="E2" s="268"/>
      <c r="F2" s="268"/>
      <c r="G2" s="268"/>
      <c r="H2" s="268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69"/>
      <c r="C5" s="269"/>
      <c r="D5" s="269"/>
      <c r="E5" s="269"/>
      <c r="F5" s="269"/>
      <c r="G5" s="269"/>
      <c r="H5" s="269"/>
      <c r="I5" s="269"/>
      <c r="J5" s="269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70" t="s">
        <v>7</v>
      </c>
      <c r="B8" s="270"/>
      <c r="C8" s="270"/>
      <c r="D8" s="270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30" t="s">
        <v>137</v>
      </c>
      <c r="K8" s="230"/>
      <c r="L8" s="230"/>
      <c r="M8" s="230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1"/>
      <c r="B9" s="272"/>
      <c r="C9" s="272"/>
      <c r="D9" s="273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78"/>
      <c r="B10" s="278"/>
      <c r="C10" s="278"/>
      <c r="D10" s="278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75"/>
      <c r="B11" s="276"/>
      <c r="C11" s="276"/>
      <c r="D11" s="277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75"/>
      <c r="B12" s="276"/>
      <c r="C12" s="276"/>
      <c r="D12" s="277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75"/>
      <c r="B13" s="276"/>
      <c r="C13" s="276"/>
      <c r="D13" s="277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75"/>
      <c r="B14" s="276"/>
      <c r="C14" s="276"/>
      <c r="D14" s="277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75"/>
      <c r="B15" s="276"/>
      <c r="C15" s="276"/>
      <c r="D15" s="277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2"/>
      <c r="B16" s="263"/>
      <c r="C16" s="263"/>
      <c r="D16" s="264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34" t="s">
        <v>14</v>
      </c>
      <c r="P19" s="235"/>
      <c r="Q19" s="235"/>
      <c r="R19" s="235"/>
      <c r="S19" s="235"/>
      <c r="T19" s="235"/>
      <c r="U19" s="236"/>
      <c r="V19" s="265" t="s">
        <v>15</v>
      </c>
      <c r="W19" s="265"/>
      <c r="X19" s="266"/>
      <c r="Y19" s="1" t="s">
        <v>162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7" t="s">
        <v>16</v>
      </c>
      <c r="B20" s="267"/>
      <c r="C20" s="267"/>
      <c r="D20" s="267"/>
      <c r="E20" s="121" t="s">
        <v>8</v>
      </c>
      <c r="F20" s="121" t="s">
        <v>9</v>
      </c>
      <c r="G20" s="121" t="s">
        <v>164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165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3" t="s">
        <v>30</v>
      </c>
      <c r="B21" s="244"/>
      <c r="C21" s="244"/>
      <c r="D21" s="245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59" t="s">
        <v>168</v>
      </c>
      <c r="B22" s="259"/>
      <c r="C22" s="259"/>
      <c r="D22" s="259"/>
      <c r="E22" s="124" t="s">
        <v>28</v>
      </c>
      <c r="F22" s="128"/>
      <c r="G22" s="12">
        <v>243.45</v>
      </c>
      <c r="H22" s="12">
        <f t="shared" si="1"/>
        <v>0</v>
      </c>
      <c r="I22" s="128"/>
      <c r="J22" s="13">
        <v>211.59</v>
      </c>
      <c r="K22" s="13">
        <f t="shared" si="2"/>
        <v>0</v>
      </c>
      <c r="L22" s="129"/>
      <c r="M22" s="13">
        <v>317.39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173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3" t="s">
        <v>31</v>
      </c>
      <c r="B23" s="244"/>
      <c r="C23" s="244"/>
      <c r="D23" s="245"/>
      <c r="E23" s="124" t="s">
        <v>28</v>
      </c>
      <c r="F23" s="128"/>
      <c r="G23" s="14">
        <v>390.39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166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3" t="s">
        <v>32</v>
      </c>
      <c r="B24" s="244"/>
      <c r="C24" s="244"/>
      <c r="D24" s="245"/>
      <c r="E24" s="124" t="s">
        <v>28</v>
      </c>
      <c r="F24" s="128"/>
      <c r="G24" s="14">
        <v>231.67</v>
      </c>
      <c r="H24" s="12">
        <f t="shared" si="1"/>
        <v>0</v>
      </c>
      <c r="I24" s="128"/>
      <c r="J24" s="13">
        <v>197.63</v>
      </c>
      <c r="K24" s="13">
        <f t="shared" si="2"/>
        <v>0</v>
      </c>
      <c r="L24" s="129"/>
      <c r="M24" s="13">
        <v>296.45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167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3" t="s">
        <v>33</v>
      </c>
      <c r="B25" s="244"/>
      <c r="C25" s="244"/>
      <c r="D25" s="245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291.24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3" t="s">
        <v>34</v>
      </c>
      <c r="B26" s="244"/>
      <c r="C26" s="244"/>
      <c r="D26" s="245"/>
      <c r="E26" s="124" t="s">
        <v>28</v>
      </c>
      <c r="F26" s="128"/>
      <c r="G26" s="14">
        <v>310.62</v>
      </c>
      <c r="H26" s="12">
        <f t="shared" si="1"/>
        <v>0</v>
      </c>
      <c r="I26" s="128"/>
      <c r="J26" s="13">
        <v>291.24</v>
      </c>
      <c r="K26" s="13">
        <f t="shared" si="2"/>
        <v>0</v>
      </c>
      <c r="L26" s="129"/>
      <c r="M26" s="13">
        <v>436.87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169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59" t="s">
        <v>129</v>
      </c>
      <c r="B27" s="259"/>
      <c r="C27" s="259"/>
      <c r="D27" s="259"/>
      <c r="E27" s="124" t="s">
        <v>28</v>
      </c>
      <c r="F27" s="128"/>
      <c r="G27" s="14"/>
      <c r="H27" s="12">
        <f t="shared" si="1"/>
        <v>0</v>
      </c>
      <c r="I27" s="128"/>
      <c r="J27" s="13">
        <v>0</v>
      </c>
      <c r="K27" s="13">
        <f t="shared" si="2"/>
        <v>0</v>
      </c>
      <c r="L27" s="129"/>
      <c r="M27" s="13">
        <v>0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3" t="s">
        <v>35</v>
      </c>
      <c r="B28" s="244"/>
      <c r="C28" s="244"/>
      <c r="D28" s="245"/>
      <c r="E28" s="124" t="s">
        <v>28</v>
      </c>
      <c r="F28" s="128"/>
      <c r="G28" s="14">
        <v>199.6</v>
      </c>
      <c r="H28" s="14">
        <f t="shared" si="1"/>
        <v>0</v>
      </c>
      <c r="I28" s="128"/>
      <c r="J28" s="13">
        <v>159.6</v>
      </c>
      <c r="K28" s="13">
        <f t="shared" si="2"/>
        <v>0</v>
      </c>
      <c r="L28" s="129"/>
      <c r="M28" s="13">
        <v>239.4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59" t="s">
        <v>130</v>
      </c>
      <c r="B29" s="259"/>
      <c r="C29" s="259"/>
      <c r="D29" s="259"/>
      <c r="E29" s="124" t="s">
        <v>28</v>
      </c>
      <c r="F29" s="128"/>
      <c r="G29" s="14">
        <v>199.6</v>
      </c>
      <c r="H29" s="14">
        <f t="shared" si="1"/>
        <v>0</v>
      </c>
      <c r="I29" s="128"/>
      <c r="J29" s="13">
        <v>159.6</v>
      </c>
      <c r="K29" s="13">
        <f t="shared" si="2"/>
        <v>0</v>
      </c>
      <c r="L29" s="129"/>
      <c r="M29" s="13">
        <v>239.4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59" t="s">
        <v>36</v>
      </c>
      <c r="B30" s="259"/>
      <c r="C30" s="259"/>
      <c r="D30" s="259"/>
      <c r="E30" s="124" t="s">
        <v>28</v>
      </c>
      <c r="F30" s="128"/>
      <c r="G30" s="14">
        <v>199.6</v>
      </c>
      <c r="H30" s="14">
        <f t="shared" si="1"/>
        <v>0</v>
      </c>
      <c r="I30" s="128"/>
      <c r="J30" s="13">
        <v>159.6</v>
      </c>
      <c r="K30" s="13">
        <f t="shared" si="2"/>
        <v>0</v>
      </c>
      <c r="L30" s="129"/>
      <c r="M30" s="13">
        <v>239.4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59" t="s">
        <v>37</v>
      </c>
      <c r="B31" s="259"/>
      <c r="C31" s="259"/>
      <c r="D31" s="259"/>
      <c r="E31" s="124" t="s">
        <v>28</v>
      </c>
      <c r="F31" s="128"/>
      <c r="G31" s="14">
        <v>211.15</v>
      </c>
      <c r="H31" s="12">
        <f t="shared" si="1"/>
        <v>0</v>
      </c>
      <c r="I31" s="128"/>
      <c r="J31" s="13">
        <v>173.29</v>
      </c>
      <c r="K31" s="13">
        <f t="shared" si="2"/>
        <v>0</v>
      </c>
      <c r="L31" s="129"/>
      <c r="M31" s="13">
        <v>259.94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171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59" t="s">
        <v>38</v>
      </c>
      <c r="B32" s="259"/>
      <c r="C32" s="259"/>
      <c r="D32" s="259"/>
      <c r="E32" s="124" t="s">
        <v>28</v>
      </c>
      <c r="F32" s="128"/>
      <c r="G32" s="14">
        <v>199.6</v>
      </c>
      <c r="H32" s="12">
        <f t="shared" si="1"/>
        <v>0</v>
      </c>
      <c r="I32" s="128"/>
      <c r="J32" s="13">
        <v>159.6</v>
      </c>
      <c r="K32" s="13">
        <f t="shared" si="2"/>
        <v>0</v>
      </c>
      <c r="L32" s="129"/>
      <c r="M32" s="13">
        <v>239.4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170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59" t="s">
        <v>39</v>
      </c>
      <c r="B33" s="259"/>
      <c r="C33" s="259"/>
      <c r="D33" s="259"/>
      <c r="E33" s="124" t="s">
        <v>28</v>
      </c>
      <c r="F33" s="128">
        <v>57</v>
      </c>
      <c r="G33" s="14">
        <v>106.45</v>
      </c>
      <c r="H33" s="14">
        <f t="shared" si="1"/>
        <v>6067.6500000000005</v>
      </c>
      <c r="I33" s="128">
        <v>7</v>
      </c>
      <c r="J33" s="13">
        <v>122.9</v>
      </c>
      <c r="K33" s="13">
        <f t="shared" si="2"/>
        <v>860.30000000000007</v>
      </c>
      <c r="L33" s="129"/>
      <c r="M33" s="13">
        <v>218.43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3" t="s">
        <v>40</v>
      </c>
      <c r="B34" s="244"/>
      <c r="C34" s="244"/>
      <c r="D34" s="245"/>
      <c r="E34" s="124" t="s">
        <v>28</v>
      </c>
      <c r="F34" s="128"/>
      <c r="G34" s="14"/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3" t="s">
        <v>41</v>
      </c>
      <c r="B35" s="244"/>
      <c r="C35" s="244"/>
      <c r="D35" s="245"/>
      <c r="E35" s="124" t="s">
        <v>28</v>
      </c>
      <c r="F35" s="128"/>
      <c r="G35" s="14">
        <v>187.81</v>
      </c>
      <c r="H35" s="14">
        <f t="shared" si="1"/>
        <v>0</v>
      </c>
      <c r="I35" s="128"/>
      <c r="J35" s="13">
        <v>145.62</v>
      </c>
      <c r="K35" s="13">
        <f t="shared" si="2"/>
        <v>0</v>
      </c>
      <c r="L35" s="129"/>
      <c r="M35" s="13">
        <v>218.43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172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3" t="s">
        <v>42</v>
      </c>
      <c r="B36" s="244"/>
      <c r="C36" s="244"/>
      <c r="D36" s="245"/>
      <c r="E36" s="124" t="s">
        <v>28</v>
      </c>
      <c r="F36" s="128"/>
      <c r="G36" s="14">
        <v>94.81</v>
      </c>
      <c r="H36" s="14">
        <f>F36*G36</f>
        <v>0</v>
      </c>
      <c r="I36" s="128"/>
      <c r="J36" s="13">
        <v>145.62</v>
      </c>
      <c r="K36" s="13">
        <f t="shared" si="2"/>
        <v>0</v>
      </c>
      <c r="L36" s="129"/>
      <c r="M36" s="13">
        <v>218.43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6" t="s">
        <v>174</v>
      </c>
      <c r="B37" s="167"/>
      <c r="C37" s="167"/>
      <c r="D37" s="168"/>
      <c r="E37" s="124" t="s">
        <v>28</v>
      </c>
      <c r="F37" s="128"/>
      <c r="G37" s="12">
        <v>243.45</v>
      </c>
      <c r="H37" s="12">
        <f t="shared" ref="H37:H43" si="5">F37*G37</f>
        <v>0</v>
      </c>
      <c r="I37" s="128"/>
      <c r="J37" s="13">
        <v>211.59</v>
      </c>
      <c r="K37" s="13">
        <f t="shared" si="2"/>
        <v>0</v>
      </c>
      <c r="L37" s="129"/>
      <c r="M37" s="13">
        <v>317.39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175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59" t="s">
        <v>27</v>
      </c>
      <c r="B38" s="259"/>
      <c r="C38" s="259"/>
      <c r="D38" s="259"/>
      <c r="E38" s="124" t="s">
        <v>28</v>
      </c>
      <c r="F38" s="128"/>
      <c r="G38" s="12">
        <v>339.75</v>
      </c>
      <c r="H38" s="12">
        <f t="shared" si="5"/>
        <v>0</v>
      </c>
      <c r="I38" s="128"/>
      <c r="J38" s="13">
        <v>325.79000000000002</v>
      </c>
      <c r="K38" s="13">
        <f t="shared" si="2"/>
        <v>0</v>
      </c>
      <c r="L38" s="129"/>
      <c r="M38" s="13">
        <v>488.68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59" t="s">
        <v>29</v>
      </c>
      <c r="B39" s="259"/>
      <c r="C39" s="259"/>
      <c r="D39" s="25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3" t="s">
        <v>43</v>
      </c>
      <c r="B40" s="244"/>
      <c r="C40" s="244"/>
      <c r="D40" s="245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3" t="s">
        <v>44</v>
      </c>
      <c r="B41" s="244"/>
      <c r="C41" s="244"/>
      <c r="D41" s="245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3" t="s">
        <v>45</v>
      </c>
      <c r="B42" s="244"/>
      <c r="C42" s="244"/>
      <c r="D42" s="245"/>
      <c r="E42" s="124" t="s">
        <v>28</v>
      </c>
      <c r="F42" s="128"/>
      <c r="G42" s="14">
        <v>1004.49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3" t="s">
        <v>46</v>
      </c>
      <c r="B43" s="244"/>
      <c r="C43" s="244"/>
      <c r="D43" s="245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6067.6500000000005</v>
      </c>
      <c r="I44" s="103"/>
      <c r="J44" s="6" t="s">
        <v>48</v>
      </c>
      <c r="K44" s="6">
        <f>SUM(K21:K43)</f>
        <v>860.30000000000007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6927.9500000000007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74" t="s">
        <v>50</v>
      </c>
      <c r="B46" s="274"/>
      <c r="C46" s="274"/>
      <c r="D46" s="274"/>
      <c r="E46" s="24"/>
      <c r="F46" s="25"/>
      <c r="G46" s="26" t="s">
        <v>51</v>
      </c>
      <c r="H46" s="6">
        <f>+H45*0.06</f>
        <v>415.67700000000002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2"/>
      <c r="B47" s="172"/>
      <c r="C47" s="172"/>
      <c r="D47" s="172"/>
      <c r="E47" s="7"/>
      <c r="F47" s="7"/>
      <c r="G47" s="175"/>
      <c r="H47" s="22"/>
      <c r="I47" s="173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5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61" t="s">
        <v>52</v>
      </c>
      <c r="B49" s="261"/>
      <c r="C49" s="261"/>
      <c r="D49" s="26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4" t="s">
        <v>7</v>
      </c>
      <c r="B50" s="254"/>
      <c r="C50" s="254"/>
      <c r="D50" s="254"/>
      <c r="E50" s="28" t="s">
        <v>8</v>
      </c>
      <c r="F50" s="174" t="s">
        <v>9</v>
      </c>
      <c r="G50" s="174" t="s">
        <v>10</v>
      </c>
      <c r="H50" s="174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56" t="s">
        <v>134</v>
      </c>
      <c r="B51" s="257"/>
      <c r="C51" s="257"/>
      <c r="D51" s="25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56" t="s">
        <v>135</v>
      </c>
      <c r="B52" s="257"/>
      <c r="C52" s="257"/>
      <c r="D52" s="25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56" t="s">
        <v>58</v>
      </c>
      <c r="B53" s="257"/>
      <c r="C53" s="257"/>
      <c r="D53" s="25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56" t="s">
        <v>136</v>
      </c>
      <c r="B54" s="257"/>
      <c r="C54" s="257"/>
      <c r="D54" s="25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56"/>
      <c r="B55" s="257"/>
      <c r="C55" s="257"/>
      <c r="D55" s="25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56"/>
      <c r="B56" s="257"/>
      <c r="C56" s="257"/>
      <c r="D56" s="25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56" t="s">
        <v>60</v>
      </c>
      <c r="B57" s="257"/>
      <c r="C57" s="257"/>
      <c r="D57" s="25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83</v>
      </c>
      <c r="H59" s="34">
        <f>H58+H45+H17+H46</f>
        <v>7343.6270000000004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84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5" t="s">
        <v>7</v>
      </c>
      <c r="B61" s="255"/>
      <c r="C61" s="255"/>
      <c r="D61" s="25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85</v>
      </c>
      <c r="J61" s="46"/>
      <c r="K61" s="46" t="s">
        <v>86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7" t="s">
        <v>87</v>
      </c>
      <c r="B62" s="238"/>
      <c r="C62" s="238"/>
      <c r="D62" s="238"/>
      <c r="E62" s="123" t="s">
        <v>88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7" t="s">
        <v>89</v>
      </c>
      <c r="B63" s="238"/>
      <c r="C63" s="238"/>
      <c r="D63" s="238"/>
      <c r="E63" s="123" t="s">
        <v>88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7" t="s">
        <v>90</v>
      </c>
      <c r="B64" s="238"/>
      <c r="C64" s="238"/>
      <c r="D64" s="238"/>
      <c r="E64" s="123" t="s">
        <v>88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7" t="s">
        <v>91</v>
      </c>
      <c r="B65" s="238"/>
      <c r="C65" s="238"/>
      <c r="D65" s="238"/>
      <c r="E65" s="123" t="s">
        <v>88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7" t="s">
        <v>92</v>
      </c>
      <c r="B66" s="238"/>
      <c r="C66" s="238"/>
      <c r="D66" s="238"/>
      <c r="E66" s="123" t="s">
        <v>88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7" t="s">
        <v>93</v>
      </c>
      <c r="B67" s="238"/>
      <c r="C67" s="238"/>
      <c r="D67" s="238"/>
      <c r="E67" s="123" t="s">
        <v>88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7" t="s">
        <v>94</v>
      </c>
      <c r="B68" s="238"/>
      <c r="C68" s="238"/>
      <c r="D68" s="238"/>
      <c r="E68" s="123" t="s">
        <v>88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7" t="s">
        <v>95</v>
      </c>
      <c r="B69" s="238"/>
      <c r="C69" s="238"/>
      <c r="D69" s="238"/>
      <c r="E69" s="123" t="s">
        <v>88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7" t="s">
        <v>96</v>
      </c>
      <c r="B70" s="238"/>
      <c r="C70" s="238"/>
      <c r="D70" s="238"/>
      <c r="E70" s="123" t="s">
        <v>88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7" t="s">
        <v>97</v>
      </c>
      <c r="B71" s="238"/>
      <c r="C71" s="238"/>
      <c r="D71" s="238"/>
      <c r="E71" s="123" t="s">
        <v>88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7" t="s">
        <v>98</v>
      </c>
      <c r="B72" s="238"/>
      <c r="C72" s="238"/>
      <c r="D72" s="238"/>
      <c r="E72" s="123" t="s">
        <v>88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7" t="s">
        <v>99</v>
      </c>
      <c r="B73" s="238"/>
      <c r="C73" s="238"/>
      <c r="D73" s="238"/>
      <c r="E73" s="123" t="s">
        <v>88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7" t="s">
        <v>100</v>
      </c>
      <c r="B74" s="238"/>
      <c r="C74" s="238"/>
      <c r="D74" s="238"/>
      <c r="E74" s="123" t="s">
        <v>88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7" t="s">
        <v>160</v>
      </c>
      <c r="B75" s="238"/>
      <c r="C75" s="238"/>
      <c r="D75" s="238"/>
      <c r="E75" s="4" t="s">
        <v>88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7" t="s">
        <v>102</v>
      </c>
      <c r="B76" s="238"/>
      <c r="C76" s="238"/>
      <c r="D76" s="238"/>
      <c r="E76" s="123" t="s">
        <v>88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7" t="s">
        <v>103</v>
      </c>
      <c r="B77" s="238"/>
      <c r="C77" s="238"/>
      <c r="D77" s="238"/>
      <c r="E77" s="123" t="s">
        <v>88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7" t="s">
        <v>104</v>
      </c>
      <c r="B78" s="238"/>
      <c r="C78" s="238"/>
      <c r="D78" s="238"/>
      <c r="E78" s="123" t="s">
        <v>88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7" t="s">
        <v>105</v>
      </c>
      <c r="B79" s="238"/>
      <c r="C79" s="238"/>
      <c r="D79" s="238"/>
      <c r="E79" s="123" t="s">
        <v>88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7" t="s">
        <v>106</v>
      </c>
      <c r="B80" s="238"/>
      <c r="C80" s="238"/>
      <c r="D80" s="238"/>
      <c r="E80" s="4" t="s">
        <v>88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7" t="s">
        <v>157</v>
      </c>
      <c r="B81" s="238"/>
      <c r="C81" s="238"/>
      <c r="D81" s="238"/>
      <c r="E81" s="4" t="s">
        <v>88</v>
      </c>
      <c r="F81" s="128"/>
      <c r="G81" s="31">
        <v>15200</v>
      </c>
      <c r="H81" s="60">
        <f t="shared" si="10"/>
        <v>0</v>
      </c>
      <c r="I81" s="165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7" t="s">
        <v>159</v>
      </c>
      <c r="B82" s="238"/>
      <c r="C82" s="238"/>
      <c r="D82" s="238"/>
      <c r="E82" s="4" t="s">
        <v>88</v>
      </c>
      <c r="F82" s="128"/>
      <c r="G82" s="31">
        <v>5800</v>
      </c>
      <c r="H82" s="60">
        <f t="shared" si="10"/>
        <v>0</v>
      </c>
      <c r="I82" s="165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7"/>
      <c r="B83" s="238"/>
      <c r="C83" s="238"/>
      <c r="D83" s="238"/>
      <c r="E83" s="4" t="s">
        <v>88</v>
      </c>
      <c r="F83" s="128"/>
      <c r="G83" s="31"/>
      <c r="H83" s="60">
        <f t="shared" si="10"/>
        <v>0</v>
      </c>
      <c r="I83" s="165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7" t="s">
        <v>158</v>
      </c>
      <c r="B84" s="238"/>
      <c r="C84" s="238"/>
      <c r="D84" s="238"/>
      <c r="E84" s="4" t="s">
        <v>88</v>
      </c>
      <c r="F84" s="128"/>
      <c r="G84" s="31">
        <v>15000</v>
      </c>
      <c r="H84" s="60">
        <f t="shared" si="10"/>
        <v>0</v>
      </c>
      <c r="I84" s="165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7" t="s">
        <v>107</v>
      </c>
      <c r="B85" s="238"/>
      <c r="C85" s="238"/>
      <c r="D85" s="238"/>
      <c r="E85" s="123" t="s">
        <v>88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108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31" t="s">
        <v>131</v>
      </c>
      <c r="J88" s="224" t="s">
        <v>109</v>
      </c>
      <c r="K88" s="226"/>
      <c r="L88" s="16"/>
      <c r="M88" s="7"/>
      <c r="N88" s="227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28" t="s">
        <v>110</v>
      </c>
      <c r="G89" s="229"/>
      <c r="H89" s="73">
        <f>H59+H86</f>
        <v>7343.6270000000004</v>
      </c>
      <c r="I89" s="232"/>
      <c r="J89" s="225"/>
      <c r="K89" s="226"/>
      <c r="L89" s="16"/>
      <c r="M89" s="7"/>
      <c r="N89" s="227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111</v>
      </c>
      <c r="G90" s="75">
        <v>0.3</v>
      </c>
      <c r="H90" s="116">
        <f>H89*G90</f>
        <v>2203.0880999999999</v>
      </c>
      <c r="I90" s="115">
        <f>+M96</f>
        <v>-891.46474350000028</v>
      </c>
      <c r="J90" s="117">
        <f>H90-M96</f>
        <v>3094.5528435000001</v>
      </c>
      <c r="K90" s="9"/>
      <c r="L90" s="9"/>
      <c r="M90" s="9"/>
      <c r="N90" s="126" t="s">
        <v>133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112</v>
      </c>
      <c r="G91" s="78"/>
      <c r="H91" s="13">
        <f>H89+H90</f>
        <v>9546.7151000000013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114</v>
      </c>
      <c r="G92" s="82">
        <v>0.05</v>
      </c>
      <c r="H92" s="13">
        <f>H91*G92</f>
        <v>477.33575500000006</v>
      </c>
      <c r="I92" s="83"/>
      <c r="J92" s="80"/>
      <c r="K92" s="81" t="s">
        <v>113</v>
      </c>
      <c r="L92" s="111" t="s">
        <v>132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116</v>
      </c>
      <c r="G93" s="77"/>
      <c r="H93" s="13">
        <f>H91+H92</f>
        <v>10024.050855000001</v>
      </c>
      <c r="I93" s="80"/>
      <c r="J93" s="80" t="s">
        <v>115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118</v>
      </c>
      <c r="G94" s="82">
        <v>0.2</v>
      </c>
      <c r="H94" s="13">
        <f>H93*G94</f>
        <v>2004.8101710000003</v>
      </c>
      <c r="I94" s="80"/>
      <c r="J94" s="80" t="s">
        <v>117</v>
      </c>
      <c r="K94" s="6">
        <f>H44</f>
        <v>6067.6500000000005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120</v>
      </c>
      <c r="G95" s="74"/>
      <c r="H95" s="85">
        <f>H93+H94</f>
        <v>12028.861026000002</v>
      </c>
      <c r="I95" s="13"/>
      <c r="J95" s="80" t="s">
        <v>119</v>
      </c>
      <c r="K95" s="6">
        <f>H59-H46</f>
        <v>6927.9500000000007</v>
      </c>
      <c r="L95" s="112"/>
      <c r="M95" s="84" t="s">
        <v>128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126</v>
      </c>
      <c r="G96" s="87"/>
      <c r="H96" s="97">
        <f>MAT!H121</f>
        <v>24240.5625</v>
      </c>
      <c r="I96" s="88" t="s">
        <v>121</v>
      </c>
      <c r="J96" s="86" t="s">
        <v>56</v>
      </c>
      <c r="K96" s="6">
        <f>SUM(K93:K95)</f>
        <v>12995.600000000002</v>
      </c>
      <c r="L96" s="113">
        <f>H95-H94</f>
        <v>10024.050855000001</v>
      </c>
      <c r="M96" s="114">
        <f>+(L96-K96)*0.3</f>
        <v>-891.46474350000028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122</v>
      </c>
      <c r="C97" s="16"/>
      <c r="D97" s="16"/>
      <c r="E97" s="16"/>
      <c r="F97" s="124" t="s">
        <v>127</v>
      </c>
      <c r="G97" s="90"/>
      <c r="H97" s="98">
        <f>H95+H96</f>
        <v>36269.423525999999</v>
      </c>
      <c r="I97" s="13"/>
      <c r="J97" s="89">
        <f>H95/H89</f>
        <v>1.6380000000000001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123</v>
      </c>
      <c r="C98" s="139" t="s">
        <v>124</v>
      </c>
      <c r="D98" s="140" t="s">
        <v>125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0:D10"/>
    <mergeCell ref="A1:H1"/>
    <mergeCell ref="A2:H2"/>
    <mergeCell ref="B5:J5"/>
    <mergeCell ref="A8:D8"/>
    <mergeCell ref="A9:D9"/>
    <mergeCell ref="J8:M8"/>
    <mergeCell ref="A23:D23"/>
    <mergeCell ref="A11:D11"/>
    <mergeCell ref="A12:D12"/>
    <mergeCell ref="A13:D13"/>
    <mergeCell ref="A14:D14"/>
    <mergeCell ref="A15:D15"/>
    <mergeCell ref="A16:D16"/>
    <mergeCell ref="O19:U19"/>
    <mergeCell ref="V19:X19"/>
    <mergeCell ref="A20:D20"/>
    <mergeCell ref="A21:D21"/>
    <mergeCell ref="A22:D22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52:D52"/>
    <mergeCell ref="A36:D36"/>
    <mergeCell ref="A38:D38"/>
    <mergeCell ref="A39:D39"/>
    <mergeCell ref="A40:D40"/>
    <mergeCell ref="A41:D41"/>
    <mergeCell ref="A42:D42"/>
    <mergeCell ref="A50:D50"/>
    <mergeCell ref="A51:D51"/>
    <mergeCell ref="A43:D43"/>
    <mergeCell ref="A46:D46"/>
    <mergeCell ref="A49:D49"/>
    <mergeCell ref="A64:D64"/>
    <mergeCell ref="A61:D61"/>
    <mergeCell ref="A62:D62"/>
    <mergeCell ref="A63:D63"/>
    <mergeCell ref="A53:D53"/>
    <mergeCell ref="A54:D54"/>
    <mergeCell ref="A55:D55"/>
    <mergeCell ref="A56:D56"/>
    <mergeCell ref="A57:D57"/>
    <mergeCell ref="A65:D65"/>
    <mergeCell ref="A66:D66"/>
    <mergeCell ref="A68:D68"/>
    <mergeCell ref="A69:D69"/>
    <mergeCell ref="A70:D70"/>
    <mergeCell ref="A67:D67"/>
    <mergeCell ref="J88:J89"/>
    <mergeCell ref="K88:K89"/>
    <mergeCell ref="N88:N89"/>
    <mergeCell ref="F89:G89"/>
    <mergeCell ref="A77:D77"/>
    <mergeCell ref="A78:D78"/>
    <mergeCell ref="A79:D79"/>
    <mergeCell ref="A80:D80"/>
    <mergeCell ref="A85:D85"/>
    <mergeCell ref="I88:I89"/>
    <mergeCell ref="A84:D84"/>
    <mergeCell ref="A82:D82"/>
    <mergeCell ref="A83:D83"/>
    <mergeCell ref="A81:D81"/>
    <mergeCell ref="A76:D76"/>
    <mergeCell ref="A75:D75"/>
    <mergeCell ref="A72:D72"/>
    <mergeCell ref="A71:D71"/>
    <mergeCell ref="A73:D73"/>
    <mergeCell ref="A74:D74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  <ignoredErrors>
    <ignoredError sqref="H91:H94 H9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6" zoomScale="87" zoomScaleNormal="70" zoomScaleSheetLayoutView="87" workbookViewId="0">
      <selection activeCell="F9" sqref="F9"/>
    </sheetView>
  </sheetViews>
  <sheetFormatPr baseColWidth="10" defaultRowHeight="15" x14ac:dyDescent="0.25"/>
  <cols>
    <col min="3" max="3" width="11.42578125" customWidth="1"/>
    <col min="4" max="4" width="14.7109375" customWidth="1"/>
    <col min="5" max="6" width="11.42578125" customWidth="1"/>
    <col min="7" max="7" width="13.28515625" customWidth="1"/>
    <col min="8" max="8" width="15.42578125" customWidth="1"/>
    <col min="10" max="10" width="13" customWidth="1"/>
    <col min="11" max="12" width="13.28515625" customWidth="1"/>
    <col min="13" max="13" width="12.28515625" customWidth="1"/>
  </cols>
  <sheetData>
    <row r="1" spans="1:72" ht="18.75" x14ac:dyDescent="0.3">
      <c r="A1" s="268" t="s">
        <v>1</v>
      </c>
      <c r="B1" s="268"/>
      <c r="C1" s="268"/>
      <c r="D1" s="268"/>
      <c r="E1" s="268"/>
      <c r="F1" s="268"/>
      <c r="G1" s="268"/>
      <c r="H1" s="268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68" t="s">
        <v>2</v>
      </c>
      <c r="B2" s="268"/>
      <c r="C2" s="268"/>
      <c r="D2" s="268"/>
      <c r="E2" s="268"/>
      <c r="F2" s="268"/>
      <c r="G2" s="268"/>
      <c r="H2" s="268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69"/>
      <c r="C5" s="269"/>
      <c r="D5" s="269"/>
      <c r="E5" s="269"/>
      <c r="F5" s="269"/>
      <c r="G5" s="269"/>
      <c r="H5" s="269"/>
      <c r="I5" s="269"/>
      <c r="J5" s="269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70" t="s">
        <v>7</v>
      </c>
      <c r="B8" s="270"/>
      <c r="C8" s="270"/>
      <c r="D8" s="270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30" t="s">
        <v>138</v>
      </c>
      <c r="K8" s="230"/>
      <c r="L8" s="230"/>
      <c r="M8" s="230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71" t="s">
        <v>181</v>
      </c>
      <c r="B9" s="272"/>
      <c r="C9" s="272"/>
      <c r="D9" s="273"/>
      <c r="E9" s="4" t="s">
        <v>11</v>
      </c>
      <c r="F9" s="128">
        <v>1</v>
      </c>
      <c r="G9" s="129">
        <v>8000</v>
      </c>
      <c r="H9" s="148">
        <f>G9*F9</f>
        <v>8000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62"/>
      <c r="B10" s="263"/>
      <c r="C10" s="263"/>
      <c r="D10" s="264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62"/>
      <c r="B11" s="263"/>
      <c r="C11" s="263"/>
      <c r="D11" s="264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62"/>
      <c r="B12" s="263"/>
      <c r="C12" s="263"/>
      <c r="D12" s="264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62"/>
      <c r="B13" s="263"/>
      <c r="C13" s="263"/>
      <c r="D13" s="264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62"/>
      <c r="B14" s="263"/>
      <c r="C14" s="263"/>
      <c r="D14" s="264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62"/>
      <c r="B15" s="263"/>
      <c r="C15" s="263"/>
      <c r="D15" s="264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62"/>
      <c r="B16" s="263"/>
      <c r="C16" s="263"/>
      <c r="D16" s="264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62"/>
      <c r="B17" s="263"/>
      <c r="C17" s="263"/>
      <c r="D17" s="264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62"/>
      <c r="B18" s="263"/>
      <c r="C18" s="263"/>
      <c r="D18" s="264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62"/>
      <c r="B19" s="263"/>
      <c r="C19" s="263"/>
      <c r="D19" s="264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62"/>
      <c r="B20" s="263"/>
      <c r="C20" s="263"/>
      <c r="D20" s="264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2"/>
      <c r="B21" s="263"/>
      <c r="C21" s="263"/>
      <c r="D21" s="264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62"/>
      <c r="B22" s="263"/>
      <c r="C22" s="263"/>
      <c r="D22" s="264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33" t="s">
        <v>163</v>
      </c>
      <c r="M22" s="233"/>
      <c r="N22" s="233"/>
      <c r="O22" s="233"/>
      <c r="P22" s="233"/>
      <c r="Q22" s="233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62"/>
      <c r="B23" s="263"/>
      <c r="C23" s="263"/>
      <c r="D23" s="264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33"/>
      <c r="M23" s="233"/>
      <c r="N23" s="233"/>
      <c r="O23" s="233"/>
      <c r="P23" s="233"/>
      <c r="Q23" s="233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62"/>
      <c r="B24" s="263"/>
      <c r="C24" s="263"/>
      <c r="D24" s="264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33"/>
      <c r="M24" s="233"/>
      <c r="N24" s="233"/>
      <c r="O24" s="233"/>
      <c r="P24" s="233"/>
      <c r="Q24" s="233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62"/>
      <c r="B25" s="263"/>
      <c r="C25" s="263"/>
      <c r="D25" s="264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33"/>
      <c r="M25" s="233"/>
      <c r="N25" s="233"/>
      <c r="O25" s="233"/>
      <c r="P25" s="233"/>
      <c r="Q25" s="233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62"/>
      <c r="B26" s="263"/>
      <c r="C26" s="263"/>
      <c r="D26" s="264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8000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34" t="s">
        <v>14</v>
      </c>
      <c r="P29" s="235"/>
      <c r="Q29" s="235"/>
      <c r="R29" s="235"/>
      <c r="S29" s="235"/>
      <c r="T29" s="235"/>
      <c r="U29" s="236"/>
      <c r="V29" s="265" t="s">
        <v>15</v>
      </c>
      <c r="W29" s="265"/>
      <c r="X29" s="266"/>
      <c r="Y29" s="1" t="s">
        <v>162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7" t="s">
        <v>16</v>
      </c>
      <c r="B30" s="267"/>
      <c r="C30" s="267"/>
      <c r="D30" s="267"/>
      <c r="E30" s="121" t="s">
        <v>8</v>
      </c>
      <c r="F30" s="121" t="s">
        <v>9</v>
      </c>
      <c r="G30" s="121" t="s">
        <v>164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165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3" t="s">
        <v>30</v>
      </c>
      <c r="B31" s="244"/>
      <c r="C31" s="244"/>
      <c r="D31" s="245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59" t="s">
        <v>168</v>
      </c>
      <c r="B32" s="259"/>
      <c r="C32" s="259"/>
      <c r="D32" s="259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173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3" t="s">
        <v>31</v>
      </c>
      <c r="B33" s="244"/>
      <c r="C33" s="244"/>
      <c r="D33" s="245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166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3" t="s">
        <v>32</v>
      </c>
      <c r="B34" s="244"/>
      <c r="C34" s="244"/>
      <c r="D34" s="245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167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3" t="s">
        <v>33</v>
      </c>
      <c r="B35" s="244"/>
      <c r="C35" s="244"/>
      <c r="D35" s="245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3" t="s">
        <v>34</v>
      </c>
      <c r="B36" s="244"/>
      <c r="C36" s="244"/>
      <c r="D36" s="245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169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59" t="s">
        <v>129</v>
      </c>
      <c r="B37" s="259"/>
      <c r="C37" s="259"/>
      <c r="D37" s="259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3" t="s">
        <v>35</v>
      </c>
      <c r="B38" s="244"/>
      <c r="C38" s="244"/>
      <c r="D38" s="245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59" t="s">
        <v>130</v>
      </c>
      <c r="B39" s="259"/>
      <c r="C39" s="259"/>
      <c r="D39" s="259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59" t="s">
        <v>36</v>
      </c>
      <c r="B40" s="259"/>
      <c r="C40" s="259"/>
      <c r="D40" s="259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59" t="s">
        <v>37</v>
      </c>
      <c r="B41" s="259"/>
      <c r="C41" s="259"/>
      <c r="D41" s="259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171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59" t="s">
        <v>38</v>
      </c>
      <c r="B42" s="259"/>
      <c r="C42" s="259"/>
      <c r="D42" s="259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170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59" t="s">
        <v>39</v>
      </c>
      <c r="B43" s="259"/>
      <c r="C43" s="259"/>
      <c r="D43" s="259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3" t="s">
        <v>40</v>
      </c>
      <c r="B44" s="244"/>
      <c r="C44" s="244"/>
      <c r="D44" s="245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3" t="s">
        <v>41</v>
      </c>
      <c r="B45" s="244"/>
      <c r="C45" s="244"/>
      <c r="D45" s="245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172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3" t="s">
        <v>42</v>
      </c>
      <c r="B46" s="244"/>
      <c r="C46" s="244"/>
      <c r="D46" s="245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6" t="s">
        <v>174</v>
      </c>
      <c r="B47" s="167"/>
      <c r="C47" s="167"/>
      <c r="D47" s="168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175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59" t="s">
        <v>27</v>
      </c>
      <c r="B48" s="259"/>
      <c r="C48" s="259"/>
      <c r="D48" s="259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59" t="s">
        <v>29</v>
      </c>
      <c r="B49" s="259"/>
      <c r="C49" s="259"/>
      <c r="D49" s="259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3" t="s">
        <v>43</v>
      </c>
      <c r="B50" s="244"/>
      <c r="C50" s="244"/>
      <c r="D50" s="245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3" t="s">
        <v>44</v>
      </c>
      <c r="B51" s="244"/>
      <c r="C51" s="244"/>
      <c r="D51" s="245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3" t="s">
        <v>45</v>
      </c>
      <c r="B52" s="244"/>
      <c r="C52" s="244"/>
      <c r="D52" s="245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3" t="s">
        <v>46</v>
      </c>
      <c r="B53" s="244"/>
      <c r="C53" s="244"/>
      <c r="D53" s="245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0" t="s">
        <v>50</v>
      </c>
      <c r="B56" s="260"/>
      <c r="C56" s="260"/>
      <c r="D56" s="260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61" t="s">
        <v>52</v>
      </c>
      <c r="B58" s="261"/>
      <c r="C58" s="261"/>
      <c r="D58" s="261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4" t="s">
        <v>7</v>
      </c>
      <c r="B59" s="254"/>
      <c r="C59" s="254"/>
      <c r="D59" s="254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56" t="s">
        <v>134</v>
      </c>
      <c r="B60" s="257"/>
      <c r="C60" s="257"/>
      <c r="D60" s="257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56" t="s">
        <v>135</v>
      </c>
      <c r="B61" s="257"/>
      <c r="C61" s="257"/>
      <c r="D61" s="257"/>
      <c r="E61" s="31" t="s">
        <v>57</v>
      </c>
      <c r="F61" s="146"/>
      <c r="G61" s="127">
        <v>150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56" t="s">
        <v>58</v>
      </c>
      <c r="B62" s="257"/>
      <c r="C62" s="257"/>
      <c r="D62" s="257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56" t="s">
        <v>136</v>
      </c>
      <c r="B63" s="257"/>
      <c r="C63" s="257"/>
      <c r="D63" s="257"/>
      <c r="E63" s="31" t="s">
        <v>57</v>
      </c>
      <c r="F63" s="146">
        <v>0</v>
      </c>
      <c r="G63" s="127">
        <v>150</v>
      </c>
      <c r="H63" s="127">
        <f t="shared" si="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56"/>
      <c r="B64" s="257"/>
      <c r="C64" s="257"/>
      <c r="D64" s="257"/>
      <c r="E64" s="31" t="s">
        <v>57</v>
      </c>
      <c r="F64" s="146">
        <v>0</v>
      </c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56"/>
      <c r="B65" s="257"/>
      <c r="C65" s="257"/>
      <c r="D65" s="257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56" t="s">
        <v>60</v>
      </c>
      <c r="B66" s="257"/>
      <c r="C66" s="257"/>
      <c r="D66" s="257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2" t="s">
        <v>63</v>
      </c>
      <c r="B68" s="25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4" t="s">
        <v>7</v>
      </c>
      <c r="B69" s="254"/>
      <c r="C69" s="254"/>
      <c r="D69" s="254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7" t="s">
        <v>67</v>
      </c>
      <c r="B70" s="238"/>
      <c r="C70" s="238"/>
      <c r="D70" s="258"/>
      <c r="E70" s="32" t="s">
        <v>68</v>
      </c>
      <c r="F70" s="147">
        <v>0</v>
      </c>
      <c r="G70" s="30">
        <v>23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7" t="s">
        <v>69</v>
      </c>
      <c r="B71" s="238"/>
      <c r="C71" s="238"/>
      <c r="D71" s="258"/>
      <c r="E71" s="32" t="s">
        <v>68</v>
      </c>
      <c r="F71" s="147">
        <f>M71/4.5</f>
        <v>0</v>
      </c>
      <c r="G71" s="29">
        <v>21</v>
      </c>
      <c r="H71" s="33">
        <f>F71*G71</f>
        <v>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2" t="s">
        <v>71</v>
      </c>
      <c r="B73" s="25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4" t="s">
        <v>7</v>
      </c>
      <c r="B74" s="254"/>
      <c r="C74" s="254"/>
      <c r="D74" s="254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9.899999999999999" customHeight="1" x14ac:dyDescent="0.25">
      <c r="A75" s="237" t="s">
        <v>72</v>
      </c>
      <c r="B75" s="238"/>
      <c r="C75" s="238"/>
      <c r="D75" s="238"/>
      <c r="E75" s="32" t="s">
        <v>73</v>
      </c>
      <c r="F75" s="128"/>
      <c r="G75" s="29">
        <v>100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9.899999999999999" customHeight="1" x14ac:dyDescent="0.25">
      <c r="A76" s="237" t="s">
        <v>74</v>
      </c>
      <c r="B76" s="238"/>
      <c r="C76" s="238"/>
      <c r="D76" s="238"/>
      <c r="E76" s="32" t="s">
        <v>73</v>
      </c>
      <c r="F76" s="128">
        <v>0</v>
      </c>
      <c r="G76" s="29">
        <v>65</v>
      </c>
      <c r="H76" s="33">
        <f>F76*G76</f>
        <v>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75</v>
      </c>
      <c r="H77" s="34">
        <f>SUM(H75:H76)</f>
        <v>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76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2" t="s">
        <v>77</v>
      </c>
      <c r="B79" s="252"/>
      <c r="C79" s="16"/>
      <c r="D79" s="16"/>
      <c r="E79" s="16"/>
      <c r="F79" s="16"/>
      <c r="G79" s="16"/>
      <c r="H79" s="16"/>
      <c r="I79" s="16"/>
      <c r="J79" s="253"/>
      <c r="K79" s="25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4" t="s">
        <v>7</v>
      </c>
      <c r="B80" s="254"/>
      <c r="C80" s="254"/>
      <c r="D80" s="254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38" t="s">
        <v>78</v>
      </c>
      <c r="B81" s="238"/>
      <c r="C81" s="238"/>
      <c r="D81" s="238"/>
      <c r="E81" s="39" t="s">
        <v>11</v>
      </c>
      <c r="F81" s="128"/>
      <c r="G81" s="29">
        <v>730</v>
      </c>
      <c r="H81" s="20">
        <f>F81*G81</f>
        <v>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2" t="s">
        <v>79</v>
      </c>
      <c r="B83" s="252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4" t="s">
        <v>7</v>
      </c>
      <c r="B84" s="254"/>
      <c r="C84" s="254"/>
      <c r="D84" s="254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7" t="s">
        <v>80</v>
      </c>
      <c r="B85" s="238"/>
      <c r="C85" s="238"/>
      <c r="D85" s="238"/>
      <c r="E85" s="32" t="s">
        <v>81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82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83</v>
      </c>
      <c r="H87" s="34">
        <f>H67+H72+H77+H82+H86+H56+H55+H27</f>
        <v>8000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84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5" t="s">
        <v>7</v>
      </c>
      <c r="B89" s="255"/>
      <c r="C89" s="255"/>
      <c r="D89" s="255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85</v>
      </c>
      <c r="J89" s="46"/>
      <c r="K89" s="46" t="s">
        <v>86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7" t="s">
        <v>87</v>
      </c>
      <c r="B90" s="238"/>
      <c r="C90" s="238"/>
      <c r="D90" s="238"/>
      <c r="E90" s="123" t="s">
        <v>88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7" t="s">
        <v>89</v>
      </c>
      <c r="B91" s="238"/>
      <c r="C91" s="238"/>
      <c r="D91" s="238"/>
      <c r="E91" s="123" t="s">
        <v>88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7" t="s">
        <v>90</v>
      </c>
      <c r="B92" s="238"/>
      <c r="C92" s="238"/>
      <c r="D92" s="238"/>
      <c r="E92" s="123" t="s">
        <v>88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7" t="s">
        <v>91</v>
      </c>
      <c r="B93" s="238"/>
      <c r="C93" s="238"/>
      <c r="D93" s="238"/>
      <c r="E93" s="123" t="s">
        <v>88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46" t="s">
        <v>92</v>
      </c>
      <c r="B94" s="247"/>
      <c r="C94" s="247"/>
      <c r="D94" s="247"/>
      <c r="E94" s="52" t="s">
        <v>88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7" t="s">
        <v>93</v>
      </c>
      <c r="B95" s="238"/>
      <c r="C95" s="238"/>
      <c r="D95" s="238"/>
      <c r="E95" s="123" t="s">
        <v>88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46" t="s">
        <v>94</v>
      </c>
      <c r="B96" s="247"/>
      <c r="C96" s="247"/>
      <c r="D96" s="247"/>
      <c r="E96" s="52" t="s">
        <v>88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7" t="s">
        <v>95</v>
      </c>
      <c r="B97" s="238"/>
      <c r="C97" s="238"/>
      <c r="D97" s="238"/>
      <c r="E97" s="123" t="s">
        <v>88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48" t="s">
        <v>96</v>
      </c>
      <c r="B98" s="249"/>
      <c r="C98" s="249"/>
      <c r="D98" s="249"/>
      <c r="E98" s="56" t="s">
        <v>88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7" t="s">
        <v>97</v>
      </c>
      <c r="B99" s="238"/>
      <c r="C99" s="238"/>
      <c r="D99" s="238"/>
      <c r="E99" s="123" t="s">
        <v>88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39" t="s">
        <v>98</v>
      </c>
      <c r="B100" s="240"/>
      <c r="C100" s="240"/>
      <c r="D100" s="241"/>
      <c r="E100" s="123" t="s">
        <v>88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7" t="s">
        <v>99</v>
      </c>
      <c r="B101" s="238"/>
      <c r="C101" s="238"/>
      <c r="D101" s="238"/>
      <c r="E101" s="123" t="s">
        <v>88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39" t="s">
        <v>100</v>
      </c>
      <c r="B102" s="240"/>
      <c r="C102" s="240"/>
      <c r="D102" s="241"/>
      <c r="E102" s="123" t="s">
        <v>88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0" t="s">
        <v>101</v>
      </c>
      <c r="B103" s="251"/>
      <c r="C103" s="251"/>
      <c r="D103" s="251"/>
      <c r="E103" s="4" t="s">
        <v>88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7" t="s">
        <v>102</v>
      </c>
      <c r="B104" s="238"/>
      <c r="C104" s="238"/>
      <c r="D104" s="238"/>
      <c r="E104" s="123" t="s">
        <v>88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7" t="s">
        <v>103</v>
      </c>
      <c r="B105" s="238"/>
      <c r="C105" s="238"/>
      <c r="D105" s="238"/>
      <c r="E105" s="123" t="s">
        <v>88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39" t="s">
        <v>104</v>
      </c>
      <c r="B106" s="240"/>
      <c r="C106" s="240"/>
      <c r="D106" s="241"/>
      <c r="E106" s="123" t="s">
        <v>88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42" t="s">
        <v>105</v>
      </c>
      <c r="B107" s="242"/>
      <c r="C107" s="242"/>
      <c r="D107" s="242"/>
      <c r="E107" s="63" t="s">
        <v>88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3" t="s">
        <v>106</v>
      </c>
      <c r="B108" s="244"/>
      <c r="C108" s="244"/>
      <c r="D108" s="245"/>
      <c r="E108" s="4" t="s">
        <v>88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7" t="s">
        <v>107</v>
      </c>
      <c r="B109" s="238"/>
      <c r="C109" s="238"/>
      <c r="D109" s="238"/>
      <c r="E109" s="123" t="s">
        <v>88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108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31" t="s">
        <v>131</v>
      </c>
      <c r="J112" s="224" t="s">
        <v>109</v>
      </c>
      <c r="K112" s="226"/>
      <c r="L112" s="16"/>
      <c r="M112" s="7"/>
      <c r="N112" s="227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28" t="s">
        <v>110</v>
      </c>
      <c r="G113" s="229"/>
      <c r="H113" s="73">
        <f>H87+H110</f>
        <v>8000</v>
      </c>
      <c r="I113" s="232"/>
      <c r="J113" s="225"/>
      <c r="K113" s="226"/>
      <c r="L113" s="16"/>
      <c r="M113" s="7"/>
      <c r="N113" s="22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178</v>
      </c>
      <c r="E114" s="27"/>
      <c r="F114" s="74" t="s">
        <v>111</v>
      </c>
      <c r="G114" s="171">
        <v>1.1000000000000001</v>
      </c>
      <c r="H114" s="116">
        <f>H113*G114-H113</f>
        <v>800</v>
      </c>
      <c r="I114" s="115">
        <f>+(H121-K120)*0.23</f>
        <v>-1236.02</v>
      </c>
      <c r="J114" s="117">
        <f>H114-M120</f>
        <v>2828</v>
      </c>
      <c r="K114" s="9"/>
      <c r="L114" s="9"/>
      <c r="M114" s="9"/>
      <c r="N114" s="126" t="s">
        <v>176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112</v>
      </c>
      <c r="G115" s="78"/>
      <c r="H115" s="13">
        <f>H113+H114</f>
        <v>8800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114</v>
      </c>
      <c r="G116" s="82">
        <v>0.05</v>
      </c>
      <c r="H116" s="13">
        <f>H115*G116</f>
        <v>440</v>
      </c>
      <c r="I116" s="83"/>
      <c r="J116" s="80"/>
      <c r="K116" s="81" t="s">
        <v>113</v>
      </c>
      <c r="L116" s="111" t="s">
        <v>132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116</v>
      </c>
      <c r="G117" s="77"/>
      <c r="H117" s="13">
        <f>H115+H116</f>
        <v>9240</v>
      </c>
      <c r="I117" s="80"/>
      <c r="J117" s="80" t="s">
        <v>115</v>
      </c>
      <c r="K117" s="6">
        <f>+H27</f>
        <v>8000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9">
        <v>0.27500000000000002</v>
      </c>
      <c r="F118" s="124" t="s">
        <v>118</v>
      </c>
      <c r="G118" s="82">
        <v>0.15</v>
      </c>
      <c r="H118" s="13">
        <f>H117*G118</f>
        <v>1386</v>
      </c>
      <c r="I118" s="80"/>
      <c r="J118" s="80" t="s">
        <v>117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120</v>
      </c>
      <c r="G119" s="74"/>
      <c r="H119" s="85">
        <f>H117+H118</f>
        <v>10626</v>
      </c>
      <c r="I119" s="13"/>
      <c r="J119" s="80" t="s">
        <v>119</v>
      </c>
      <c r="K119" s="6">
        <f>H87-H57</f>
        <v>8000</v>
      </c>
      <c r="L119" s="112"/>
      <c r="M119" s="84" t="s">
        <v>128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121</v>
      </c>
      <c r="J120" s="86" t="s">
        <v>56</v>
      </c>
      <c r="K120" s="6">
        <f>SUM(K117:K119)</f>
        <v>16000</v>
      </c>
      <c r="L120" s="113">
        <f>H119-H118</f>
        <v>9240</v>
      </c>
      <c r="M120" s="114">
        <f>+(L120-K120)*0.3</f>
        <v>-2028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122</v>
      </c>
      <c r="C121" s="16"/>
      <c r="D121" s="16"/>
      <c r="E121" s="16"/>
      <c r="F121" s="124" t="s">
        <v>127</v>
      </c>
      <c r="G121" s="90"/>
      <c r="H121" s="98">
        <f>H119+H120</f>
        <v>10626</v>
      </c>
      <c r="I121" s="13"/>
      <c r="J121" s="89">
        <f>H119/H113</f>
        <v>1.3282499999999999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177</v>
      </c>
      <c r="C122" s="139" t="s">
        <v>124</v>
      </c>
      <c r="D122" s="140" t="s">
        <v>125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0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9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33:D33"/>
    <mergeCell ref="A22:D22"/>
    <mergeCell ref="L22:Q25"/>
    <mergeCell ref="A23:D23"/>
    <mergeCell ref="A24:D24"/>
    <mergeCell ref="A25:D25"/>
    <mergeCell ref="A26:D26"/>
    <mergeCell ref="O29:U29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9:D9"/>
    <mergeCell ref="A1:H1"/>
    <mergeCell ref="A2:H2"/>
    <mergeCell ref="B5:J5"/>
    <mergeCell ref="A8:D8"/>
    <mergeCell ref="J8:M8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Cotizacion</vt:lpstr>
      <vt:lpstr>MAT</vt:lpstr>
      <vt:lpstr>M0</vt:lpstr>
      <vt:lpstr>MAT (2)</vt:lpstr>
      <vt:lpstr>Cotizacion!Área_de_impresión</vt:lpstr>
      <vt:lpstr>M0!Área_de_impresión</vt:lpstr>
      <vt:lpstr>MAT!Área_de_impresión</vt:lpstr>
      <vt:lpstr>'MAT (2)'!Área_de_impresión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Vargas</dc:creator>
  <cp:lastModifiedBy>user</cp:lastModifiedBy>
  <cp:lastPrinted>2025-03-11T13:15:50Z</cp:lastPrinted>
  <dcterms:created xsi:type="dcterms:W3CDTF">2020-02-06T17:11:26Z</dcterms:created>
  <dcterms:modified xsi:type="dcterms:W3CDTF">2026-01-03T20:25:49Z</dcterms:modified>
</cp:coreProperties>
</file>