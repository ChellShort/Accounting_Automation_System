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USER\OneDrive\Desktop\Accounting_Automation_System\resources\reports\"/>
    </mc:Choice>
  </mc:AlternateContent>
  <bookViews>
    <workbookView xWindow="-120" yWindow="-120" windowWidth="29040" windowHeight="15840" tabRatio="854"/>
  </bookViews>
  <sheets>
    <sheet name="Cotizacion" sheetId="41" r:id="rId1"/>
    <sheet name="MAT" sheetId="40" r:id="rId2"/>
    <sheet name="M0" sheetId="39" r:id="rId3"/>
    <sheet name="MAT (2)" sheetId="42" r:id="rId4"/>
    <sheet name="M0 (2)" sheetId="43" r:id="rId5"/>
  </sheets>
  <definedNames>
    <definedName name="_xlnm.Print_Area" localSheetId="0">Cotizacion!$A$1:$F$38</definedName>
    <definedName name="_xlnm.Print_Area" localSheetId="2">M0!$A$1:$X$99</definedName>
    <definedName name="_xlnm.Print_Area" localSheetId="4">'M0 (2)'!$A$1:$X$99</definedName>
    <definedName name="_xlnm.Print_Area" localSheetId="1">MAT!$A$1:$X$124</definedName>
    <definedName name="_xlnm.Print_Area" localSheetId="3">'MAT (2)'!$A$1:$X$124</definedName>
  </definedNames>
  <calcPr calcId="15251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99" i="43" l="1"/>
  <c r="H88" i="43"/>
  <c r="H85" i="43"/>
  <c r="H84" i="43"/>
  <c r="H83" i="43"/>
  <c r="H82" i="43"/>
  <c r="H81" i="43"/>
  <c r="H80" i="43"/>
  <c r="H79" i="43"/>
  <c r="H78" i="43"/>
  <c r="H77" i="43"/>
  <c r="H76" i="43"/>
  <c r="H75" i="43"/>
  <c r="H74" i="43"/>
  <c r="H73" i="43"/>
  <c r="H72" i="43"/>
  <c r="H71" i="43"/>
  <c r="H70" i="43"/>
  <c r="H69" i="43"/>
  <c r="H68" i="43"/>
  <c r="H67" i="43"/>
  <c r="H66" i="43"/>
  <c r="H65" i="43"/>
  <c r="H64" i="43"/>
  <c r="H63" i="43"/>
  <c r="H62" i="43"/>
  <c r="H86" i="43" s="1"/>
  <c r="M57" i="43"/>
  <c r="H57" i="43"/>
  <c r="M56" i="43"/>
  <c r="H56" i="43"/>
  <c r="M55" i="43"/>
  <c r="H55" i="43"/>
  <c r="M54" i="43"/>
  <c r="H54" i="43"/>
  <c r="M53" i="43"/>
  <c r="H53" i="43"/>
  <c r="M52" i="43"/>
  <c r="H52" i="43"/>
  <c r="M51" i="43"/>
  <c r="H51" i="43"/>
  <c r="N44" i="43"/>
  <c r="F44" i="43"/>
  <c r="V43" i="43"/>
  <c r="N43" i="43"/>
  <c r="M43" i="43"/>
  <c r="J43" i="43"/>
  <c r="K43" i="43" s="1"/>
  <c r="H43" i="43"/>
  <c r="V42" i="43"/>
  <c r="N42" i="43"/>
  <c r="K42" i="43"/>
  <c r="H42" i="43"/>
  <c r="V41" i="43"/>
  <c r="N41" i="43"/>
  <c r="K41" i="43"/>
  <c r="H41" i="43"/>
  <c r="V40" i="43"/>
  <c r="N40" i="43"/>
  <c r="K40" i="43"/>
  <c r="H40" i="43"/>
  <c r="V39" i="43"/>
  <c r="N39" i="43"/>
  <c r="K39" i="43"/>
  <c r="H39" i="43"/>
  <c r="V38" i="43"/>
  <c r="N38" i="43"/>
  <c r="K38" i="43"/>
  <c r="H38" i="43"/>
  <c r="N37" i="43"/>
  <c r="K37" i="43"/>
  <c r="H37" i="43"/>
  <c r="V36" i="43"/>
  <c r="N36" i="43"/>
  <c r="K36" i="43"/>
  <c r="H36" i="43"/>
  <c r="V35" i="43"/>
  <c r="N35" i="43"/>
  <c r="K35" i="43"/>
  <c r="H35" i="43"/>
  <c r="V34" i="43"/>
  <c r="N34" i="43"/>
  <c r="K34" i="43"/>
  <c r="H34" i="43"/>
  <c r="V33" i="43"/>
  <c r="N33" i="43"/>
  <c r="K33" i="43"/>
  <c r="H33" i="43"/>
  <c r="V32" i="43"/>
  <c r="N32" i="43"/>
  <c r="K32" i="43"/>
  <c r="H32" i="43"/>
  <c r="V31" i="43"/>
  <c r="N31" i="43"/>
  <c r="K31" i="43"/>
  <c r="H31" i="43"/>
  <c r="V30" i="43"/>
  <c r="N30" i="43"/>
  <c r="K30" i="43"/>
  <c r="H30" i="43"/>
  <c r="V29" i="43"/>
  <c r="N29" i="43"/>
  <c r="K29" i="43"/>
  <c r="H29" i="43"/>
  <c r="V28" i="43"/>
  <c r="N28" i="43"/>
  <c r="K28" i="43"/>
  <c r="H28" i="43"/>
  <c r="V27" i="43"/>
  <c r="N27" i="43"/>
  <c r="K27" i="43"/>
  <c r="H27" i="43"/>
  <c r="V26" i="43"/>
  <c r="N26" i="43"/>
  <c r="K26" i="43"/>
  <c r="H26" i="43"/>
  <c r="V25" i="43"/>
  <c r="N25" i="43"/>
  <c r="K25" i="43"/>
  <c r="H25" i="43"/>
  <c r="V24" i="43"/>
  <c r="N24" i="43"/>
  <c r="K24" i="43"/>
  <c r="H24" i="43"/>
  <c r="V23" i="43"/>
  <c r="N23" i="43"/>
  <c r="K23" i="43"/>
  <c r="H23" i="43"/>
  <c r="V22" i="43"/>
  <c r="N22" i="43"/>
  <c r="K22" i="43"/>
  <c r="H22" i="43"/>
  <c r="V21" i="43"/>
  <c r="N21" i="43"/>
  <c r="K21" i="43"/>
  <c r="H21" i="43"/>
  <c r="H16" i="43"/>
  <c r="I16" i="43" s="1"/>
  <c r="H15" i="43"/>
  <c r="H14" i="43"/>
  <c r="H13" i="43"/>
  <c r="H12" i="43"/>
  <c r="H11" i="43"/>
  <c r="H10" i="43"/>
  <c r="H17" i="43" s="1"/>
  <c r="K93" i="43" s="1"/>
  <c r="H9" i="43"/>
  <c r="D123" i="42"/>
  <c r="B114" i="42"/>
  <c r="H112" i="42"/>
  <c r="H109" i="42"/>
  <c r="H108" i="42"/>
  <c r="H107" i="42"/>
  <c r="H106" i="42"/>
  <c r="H105" i="42"/>
  <c r="H104" i="42"/>
  <c r="H103" i="42"/>
  <c r="H102" i="42"/>
  <c r="H101" i="42"/>
  <c r="H100" i="42"/>
  <c r="H99" i="42"/>
  <c r="H98" i="42"/>
  <c r="H97" i="42"/>
  <c r="H96" i="42"/>
  <c r="H95" i="42"/>
  <c r="H94" i="42"/>
  <c r="H93" i="42"/>
  <c r="H92" i="42"/>
  <c r="H91" i="42"/>
  <c r="H90" i="42"/>
  <c r="H110" i="42" s="1"/>
  <c r="H86" i="42"/>
  <c r="H85" i="42"/>
  <c r="H81" i="42"/>
  <c r="H82" i="42" s="1"/>
  <c r="H76" i="42"/>
  <c r="H75" i="42"/>
  <c r="M71" i="42"/>
  <c r="H71" i="42"/>
  <c r="M70" i="42"/>
  <c r="H70" i="42"/>
  <c r="M66" i="42"/>
  <c r="H66" i="42"/>
  <c r="M65" i="42"/>
  <c r="H65" i="42"/>
  <c r="M64" i="42"/>
  <c r="H64" i="42"/>
  <c r="M63" i="42"/>
  <c r="H63" i="42"/>
  <c r="M62" i="42"/>
  <c r="H62" i="42"/>
  <c r="M61" i="42"/>
  <c r="H61" i="42"/>
  <c r="M60" i="42"/>
  <c r="H60" i="42"/>
  <c r="F54" i="42"/>
  <c r="V53" i="42"/>
  <c r="N53" i="42"/>
  <c r="M53" i="42"/>
  <c r="K53" i="42"/>
  <c r="J53" i="42"/>
  <c r="H53" i="42"/>
  <c r="V52" i="42"/>
  <c r="N52" i="42"/>
  <c r="K52" i="42"/>
  <c r="H52" i="42"/>
  <c r="V51" i="42"/>
  <c r="N51" i="42"/>
  <c r="K51" i="42"/>
  <c r="H51" i="42"/>
  <c r="V50" i="42"/>
  <c r="N50" i="42"/>
  <c r="K50" i="42"/>
  <c r="H50" i="42"/>
  <c r="V49" i="42"/>
  <c r="N49" i="42"/>
  <c r="K49" i="42"/>
  <c r="H49" i="42"/>
  <c r="V48" i="42"/>
  <c r="N48" i="42"/>
  <c r="K48" i="42"/>
  <c r="H48" i="42"/>
  <c r="N47" i="42"/>
  <c r="K47" i="42"/>
  <c r="H47" i="42"/>
  <c r="V46" i="42"/>
  <c r="N46" i="42"/>
  <c r="K46" i="42"/>
  <c r="H46" i="42"/>
  <c r="V45" i="42"/>
  <c r="N45" i="42"/>
  <c r="K45" i="42"/>
  <c r="H45" i="42"/>
  <c r="V44" i="42"/>
  <c r="N44" i="42"/>
  <c r="K44" i="42"/>
  <c r="H44" i="42"/>
  <c r="V43" i="42"/>
  <c r="N43" i="42"/>
  <c r="K43" i="42"/>
  <c r="H43" i="42"/>
  <c r="V42" i="42"/>
  <c r="N42" i="42"/>
  <c r="K42" i="42"/>
  <c r="H42" i="42"/>
  <c r="V41" i="42"/>
  <c r="N41" i="42"/>
  <c r="K41" i="42"/>
  <c r="H41" i="42"/>
  <c r="V40" i="42"/>
  <c r="N40" i="42"/>
  <c r="K40" i="42"/>
  <c r="H40" i="42"/>
  <c r="V39" i="42"/>
  <c r="N39" i="42"/>
  <c r="K39" i="42"/>
  <c r="H39" i="42"/>
  <c r="V38" i="42"/>
  <c r="N38" i="42"/>
  <c r="K38" i="42"/>
  <c r="H38" i="42"/>
  <c r="V37" i="42"/>
  <c r="N37" i="42"/>
  <c r="K37" i="42"/>
  <c r="H37" i="42"/>
  <c r="V36" i="42"/>
  <c r="N36" i="42"/>
  <c r="K36" i="42"/>
  <c r="H36" i="42"/>
  <c r="V35" i="42"/>
  <c r="N35" i="42"/>
  <c r="K35" i="42"/>
  <c r="H35" i="42"/>
  <c r="V34" i="42"/>
  <c r="N34" i="42"/>
  <c r="K34" i="42"/>
  <c r="H34" i="42"/>
  <c r="V33" i="42"/>
  <c r="N33" i="42"/>
  <c r="K33" i="42"/>
  <c r="H33" i="42"/>
  <c r="V32" i="42"/>
  <c r="N32" i="42"/>
  <c r="K32" i="42"/>
  <c r="H32" i="42"/>
  <c r="V31" i="42"/>
  <c r="N31" i="42"/>
  <c r="N54" i="42" s="1"/>
  <c r="K31" i="42"/>
  <c r="K54" i="42" s="1"/>
  <c r="H31" i="42"/>
  <c r="H54" i="42" s="1"/>
  <c r="H26" i="42"/>
  <c r="I26" i="42" s="1"/>
  <c r="H25" i="42"/>
  <c r="H24" i="42"/>
  <c r="H23" i="42"/>
  <c r="H22" i="42"/>
  <c r="H21" i="42"/>
  <c r="H20" i="42"/>
  <c r="H19" i="42"/>
  <c r="H18" i="42"/>
  <c r="H17" i="42"/>
  <c r="H16" i="42"/>
  <c r="H15" i="42"/>
  <c r="H14" i="42"/>
  <c r="H13" i="42"/>
  <c r="H12" i="42"/>
  <c r="H27" i="42" s="1"/>
  <c r="K117" i="42" s="1"/>
  <c r="H11" i="42"/>
  <c r="H10" i="42"/>
  <c r="H9" i="42"/>
  <c r="M43" i="39"/>
  <c r="J43" i="39"/>
  <c r="H72" i="42" l="1"/>
  <c r="H58" i="43"/>
  <c r="K44" i="43"/>
  <c r="H44" i="43"/>
  <c r="K94" i="43" s="1"/>
  <c r="H77" i="42"/>
  <c r="H67" i="42"/>
  <c r="H55" i="42"/>
  <c r="F44" i="39"/>
  <c r="V43" i="39"/>
  <c r="N43" i="39"/>
  <c r="K43" i="39"/>
  <c r="H43" i="39"/>
  <c r="V42" i="39"/>
  <c r="N42" i="39"/>
  <c r="K42" i="39"/>
  <c r="H42" i="39"/>
  <c r="V41" i="39"/>
  <c r="N41" i="39"/>
  <c r="K41" i="39"/>
  <c r="H41" i="39"/>
  <c r="V40" i="39"/>
  <c r="N40" i="39"/>
  <c r="K40" i="39"/>
  <c r="H40" i="39"/>
  <c r="V39" i="39"/>
  <c r="N39" i="39"/>
  <c r="K39" i="39"/>
  <c r="H39" i="39"/>
  <c r="V38" i="39"/>
  <c r="N38" i="39"/>
  <c r="K38" i="39"/>
  <c r="H38" i="39"/>
  <c r="N37" i="39"/>
  <c r="K37" i="39"/>
  <c r="H37" i="39"/>
  <c r="V36" i="39"/>
  <c r="N36" i="39"/>
  <c r="K36" i="39"/>
  <c r="H36" i="39"/>
  <c r="V35" i="39"/>
  <c r="N35" i="39"/>
  <c r="K35" i="39"/>
  <c r="H35" i="39"/>
  <c r="V34" i="39"/>
  <c r="N34" i="39"/>
  <c r="K34" i="39"/>
  <c r="H34" i="39"/>
  <c r="V33" i="39"/>
  <c r="N33" i="39"/>
  <c r="K33" i="39"/>
  <c r="H33" i="39"/>
  <c r="V32" i="39"/>
  <c r="N32" i="39"/>
  <c r="K32" i="39"/>
  <c r="H32" i="39"/>
  <c r="V31" i="39"/>
  <c r="N31" i="39"/>
  <c r="K31" i="39"/>
  <c r="H31" i="39"/>
  <c r="V30" i="39"/>
  <c r="N30" i="39"/>
  <c r="K30" i="39"/>
  <c r="H30" i="39"/>
  <c r="V29" i="39"/>
  <c r="N29" i="39"/>
  <c r="K29" i="39"/>
  <c r="H29" i="39"/>
  <c r="V28" i="39"/>
  <c r="N28" i="39"/>
  <c r="K28" i="39"/>
  <c r="H28" i="39"/>
  <c r="V27" i="39"/>
  <c r="N27" i="39"/>
  <c r="K27" i="39"/>
  <c r="H27" i="39"/>
  <c r="V26" i="39"/>
  <c r="N26" i="39"/>
  <c r="K26" i="39"/>
  <c r="H26" i="39"/>
  <c r="V25" i="39"/>
  <c r="N25" i="39"/>
  <c r="K25" i="39"/>
  <c r="H25" i="39"/>
  <c r="V24" i="39"/>
  <c r="N24" i="39"/>
  <c r="K24" i="39"/>
  <c r="H24" i="39"/>
  <c r="V23" i="39"/>
  <c r="N23" i="39"/>
  <c r="K23" i="39"/>
  <c r="H23" i="39"/>
  <c r="V22" i="39"/>
  <c r="N22" i="39"/>
  <c r="K22" i="39"/>
  <c r="H22" i="39"/>
  <c r="V21" i="39"/>
  <c r="N21" i="39"/>
  <c r="K21" i="39"/>
  <c r="H21" i="39"/>
  <c r="B114" i="40"/>
  <c r="D123" i="40"/>
  <c r="N47" i="40"/>
  <c r="K47" i="40"/>
  <c r="H47" i="40"/>
  <c r="N52" i="40"/>
  <c r="N51" i="40"/>
  <c r="N50" i="40"/>
  <c r="N49" i="40"/>
  <c r="N48" i="40"/>
  <c r="N46" i="40"/>
  <c r="N45" i="40"/>
  <c r="N44" i="40"/>
  <c r="N43" i="40"/>
  <c r="N42" i="40"/>
  <c r="N41" i="40"/>
  <c r="N40" i="40"/>
  <c r="N39" i="40"/>
  <c r="N38" i="40"/>
  <c r="N37" i="40"/>
  <c r="N36" i="40"/>
  <c r="N35" i="40"/>
  <c r="N34" i="40"/>
  <c r="N33" i="40"/>
  <c r="N32" i="40"/>
  <c r="K52" i="40"/>
  <c r="K51" i="40"/>
  <c r="K50" i="40"/>
  <c r="K49" i="40"/>
  <c r="K48" i="40"/>
  <c r="K46" i="40"/>
  <c r="K45" i="40"/>
  <c r="K44" i="40"/>
  <c r="K43" i="40"/>
  <c r="K42" i="40"/>
  <c r="K41" i="40"/>
  <c r="K40" i="40"/>
  <c r="K39" i="40"/>
  <c r="K38" i="40"/>
  <c r="K37" i="40"/>
  <c r="K36" i="40"/>
  <c r="K35" i="40"/>
  <c r="K34" i="40"/>
  <c r="K33" i="40"/>
  <c r="K32" i="40"/>
  <c r="H35" i="40"/>
  <c r="H43" i="40"/>
  <c r="H51" i="40"/>
  <c r="H50" i="40"/>
  <c r="H49" i="40"/>
  <c r="H45" i="40"/>
  <c r="H42" i="40"/>
  <c r="H31" i="40"/>
  <c r="K31" i="40"/>
  <c r="N31" i="40"/>
  <c r="V31" i="40"/>
  <c r="H38" i="40"/>
  <c r="H39" i="40"/>
  <c r="H40" i="40"/>
  <c r="H45" i="43" l="1"/>
  <c r="H46" i="43" s="1"/>
  <c r="K118" i="42"/>
  <c r="H57" i="42"/>
  <c r="H56" i="42"/>
  <c r="H87" i="42" s="1"/>
  <c r="H44" i="39"/>
  <c r="K44" i="39"/>
  <c r="N44" i="39"/>
  <c r="H14" i="40"/>
  <c r="H15" i="40"/>
  <c r="H16" i="40"/>
  <c r="H17" i="40"/>
  <c r="H59" i="43" l="1"/>
  <c r="K95" i="43" s="1"/>
  <c r="K96" i="43" s="1"/>
  <c r="H113" i="42"/>
  <c r="K119" i="42"/>
  <c r="K120" i="42" s="1"/>
  <c r="H45" i="39"/>
  <c r="H84" i="39"/>
  <c r="H82" i="39"/>
  <c r="H83" i="39"/>
  <c r="H81" i="39"/>
  <c r="H89" i="43" l="1"/>
  <c r="H90" i="43" s="1"/>
  <c r="H91" i="43" s="1"/>
  <c r="H114" i="42"/>
  <c r="H46" i="39"/>
  <c r="H10" i="40"/>
  <c r="H11" i="40"/>
  <c r="H12" i="40"/>
  <c r="H13" i="40"/>
  <c r="H18" i="40"/>
  <c r="H19" i="40"/>
  <c r="H112" i="40"/>
  <c r="H109" i="40"/>
  <c r="H108" i="40"/>
  <c r="H107" i="40"/>
  <c r="H106" i="40"/>
  <c r="H105" i="40"/>
  <c r="H104" i="40"/>
  <c r="H103" i="40"/>
  <c r="H102" i="40"/>
  <c r="H101" i="40"/>
  <c r="H100" i="40"/>
  <c r="H99" i="40"/>
  <c r="H98" i="40"/>
  <c r="H97" i="40"/>
  <c r="H96" i="40"/>
  <c r="H95" i="40"/>
  <c r="H94" i="40"/>
  <c r="H93" i="40"/>
  <c r="H92" i="40"/>
  <c r="H91" i="40"/>
  <c r="H90" i="40"/>
  <c r="H85" i="40"/>
  <c r="H86" i="40" s="1"/>
  <c r="H81" i="40"/>
  <c r="H82" i="40" s="1"/>
  <c r="H76" i="40"/>
  <c r="H75" i="40"/>
  <c r="M71" i="40"/>
  <c r="H71" i="40" s="1"/>
  <c r="M70" i="40"/>
  <c r="H70" i="40"/>
  <c r="M66" i="40"/>
  <c r="H66" i="40"/>
  <c r="M65" i="40"/>
  <c r="H65" i="40"/>
  <c r="M64" i="40"/>
  <c r="H64" i="40"/>
  <c r="M63" i="40"/>
  <c r="H63" i="40"/>
  <c r="M62" i="40"/>
  <c r="H62" i="40"/>
  <c r="M61" i="40"/>
  <c r="H61" i="40"/>
  <c r="M60" i="40"/>
  <c r="H60" i="40"/>
  <c r="F54" i="40"/>
  <c r="V53" i="40"/>
  <c r="M53" i="40"/>
  <c r="N53" i="40" s="1"/>
  <c r="J53" i="40"/>
  <c r="K53" i="40" s="1"/>
  <c r="H53" i="40"/>
  <c r="V52" i="40"/>
  <c r="H52" i="40"/>
  <c r="V51" i="40"/>
  <c r="V50" i="40"/>
  <c r="V49" i="40"/>
  <c r="V48" i="40"/>
  <c r="H48" i="40"/>
  <c r="V46" i="40"/>
  <c r="H46" i="40"/>
  <c r="V45" i="40"/>
  <c r="V44" i="40"/>
  <c r="H44" i="40"/>
  <c r="V43" i="40"/>
  <c r="V42" i="40"/>
  <c r="V41" i="40"/>
  <c r="H41" i="40"/>
  <c r="V40" i="40"/>
  <c r="V39" i="40"/>
  <c r="V38" i="40"/>
  <c r="V37" i="40"/>
  <c r="H37" i="40"/>
  <c r="V36" i="40"/>
  <c r="H36" i="40"/>
  <c r="V35" i="40"/>
  <c r="V34" i="40"/>
  <c r="H34" i="40"/>
  <c r="V33" i="40"/>
  <c r="H33" i="40"/>
  <c r="V32" i="40"/>
  <c r="H32" i="40"/>
  <c r="H26" i="40"/>
  <c r="I26" i="40" s="1"/>
  <c r="H25" i="40"/>
  <c r="H24" i="40"/>
  <c r="H23" i="40"/>
  <c r="H22" i="40"/>
  <c r="H21" i="40"/>
  <c r="H20" i="40"/>
  <c r="H9" i="40"/>
  <c r="M55" i="39"/>
  <c r="M56" i="39"/>
  <c r="M57" i="39"/>
  <c r="H10" i="39"/>
  <c r="H11" i="39"/>
  <c r="H12" i="39"/>
  <c r="H13" i="39"/>
  <c r="H14" i="39"/>
  <c r="H15" i="39"/>
  <c r="H16" i="39"/>
  <c r="I16" i="39" s="1"/>
  <c r="H9" i="39"/>
  <c r="D99" i="39"/>
  <c r="H88" i="39"/>
  <c r="H85" i="39"/>
  <c r="H80" i="39"/>
  <c r="H79" i="39"/>
  <c r="H78" i="39"/>
  <c r="H77" i="39"/>
  <c r="H76" i="39"/>
  <c r="H75" i="39"/>
  <c r="H74" i="39"/>
  <c r="H73" i="39"/>
  <c r="H72" i="39"/>
  <c r="H71" i="39"/>
  <c r="H70" i="39"/>
  <c r="H69" i="39"/>
  <c r="H68" i="39"/>
  <c r="H67" i="39"/>
  <c r="H66" i="39"/>
  <c r="H65" i="39"/>
  <c r="H64" i="39"/>
  <c r="H63" i="39"/>
  <c r="H62" i="39"/>
  <c r="H57" i="39"/>
  <c r="H56" i="39"/>
  <c r="H55" i="39"/>
  <c r="M54" i="39"/>
  <c r="H54" i="39"/>
  <c r="M53" i="39"/>
  <c r="H53" i="39"/>
  <c r="M52" i="39"/>
  <c r="H52" i="39"/>
  <c r="M51" i="39"/>
  <c r="H51" i="39"/>
  <c r="H92" i="43" l="1"/>
  <c r="H93" i="43" s="1"/>
  <c r="H115" i="42"/>
  <c r="H77" i="40"/>
  <c r="N54" i="40"/>
  <c r="K54" i="40"/>
  <c r="H72" i="40"/>
  <c r="H54" i="40"/>
  <c r="H67" i="40"/>
  <c r="H110" i="40"/>
  <c r="H27" i="40"/>
  <c r="K117" i="40" s="1"/>
  <c r="H86" i="39"/>
  <c r="H58" i="39"/>
  <c r="H17" i="39"/>
  <c r="K93" i="39" s="1"/>
  <c r="H94" i="43" l="1"/>
  <c r="H95" i="43" s="1"/>
  <c r="H116" i="42"/>
  <c r="H117" i="42" s="1"/>
  <c r="H59" i="39"/>
  <c r="H55" i="40"/>
  <c r="H56" i="40" s="1"/>
  <c r="H87" i="40" s="1"/>
  <c r="J97" i="43" l="1"/>
  <c r="L96" i="43"/>
  <c r="M96" i="43" s="1"/>
  <c r="H118" i="42"/>
  <c r="H119" i="42" s="1"/>
  <c r="K118" i="40"/>
  <c r="H57" i="40"/>
  <c r="K119" i="40" s="1"/>
  <c r="H113" i="40"/>
  <c r="H115" i="40" s="1"/>
  <c r="K94" i="39"/>
  <c r="I90" i="43" l="1"/>
  <c r="J90" i="43"/>
  <c r="J121" i="42"/>
  <c r="H121" i="42"/>
  <c r="L120" i="42"/>
  <c r="M120" i="42" s="1"/>
  <c r="J114" i="42" s="1"/>
  <c r="K120" i="40"/>
  <c r="H89" i="39"/>
  <c r="K95" i="39"/>
  <c r="K96" i="39" s="1"/>
  <c r="I114" i="42" l="1"/>
  <c r="H96" i="43"/>
  <c r="H116" i="40"/>
  <c r="H117" i="40" s="1"/>
  <c r="H90" i="39"/>
  <c r="H91" i="39" s="1"/>
  <c r="H118" i="40" l="1"/>
  <c r="H119" i="40" s="1"/>
  <c r="J121" i="40" s="1"/>
  <c r="H92" i="39"/>
  <c r="H93" i="39" s="1"/>
  <c r="H121" i="40" l="1"/>
  <c r="H97" i="43" s="1"/>
  <c r="E20" i="41" s="1"/>
  <c r="L120" i="40"/>
  <c r="M120" i="40" s="1"/>
  <c r="H94" i="39"/>
  <c r="H95" i="39" s="1"/>
  <c r="H96" i="39" l="1"/>
  <c r="H97" i="39" s="1"/>
  <c r="E19" i="41" s="1"/>
  <c r="F20" i="41" s="1"/>
  <c r="I114" i="40"/>
  <c r="J114" i="40"/>
  <c r="L96" i="39"/>
  <c r="M96" i="39" s="1"/>
  <c r="J97" i="39"/>
  <c r="F19" i="41" l="1"/>
  <c r="F21" i="41" s="1"/>
  <c r="I90" i="39"/>
  <c r="J90" i="39"/>
</calcChain>
</file>

<file path=xl/sharedStrings.xml><?xml version="1.0" encoding="utf-8"?>
<sst xmlns="http://schemas.openxmlformats.org/spreadsheetml/2006/main" count="978" uniqueCount="195">
  <si>
    <t>IMPORTE</t>
  </si>
  <si>
    <t>I M M E E   S. A.  D E  C. V.</t>
  </si>
  <si>
    <t xml:space="preserve">A N A L I S I S   D E   P R E C I O   U N I T A R I O </t>
  </si>
  <si>
    <t>COTIZACION:</t>
  </si>
  <si>
    <t xml:space="preserve">FECHA: </t>
  </si>
  <si>
    <t>PARTIDA 1</t>
  </si>
  <si>
    <t>MATERIALES.</t>
  </si>
  <si>
    <t>DESCRIPCION</t>
  </si>
  <si>
    <t xml:space="preserve">UNIDAD </t>
  </si>
  <si>
    <t>CANT.</t>
  </si>
  <si>
    <t>P.U.</t>
  </si>
  <si>
    <t>Pza</t>
  </si>
  <si>
    <t>SUBT 1</t>
  </si>
  <si>
    <t xml:space="preserve">MANO DE OBRA SIN INDIRECTOS </t>
  </si>
  <si>
    <t>HORARIOS DE TRABAJO</t>
  </si>
  <si>
    <t>HORAS RESULTANTES</t>
  </si>
  <si>
    <t>PERSONAL.</t>
  </si>
  <si>
    <t>Hr. Extra</t>
  </si>
  <si>
    <t>L</t>
  </si>
  <si>
    <t>M</t>
  </si>
  <si>
    <t>MI</t>
  </si>
  <si>
    <t>J</t>
  </si>
  <si>
    <t>V</t>
  </si>
  <si>
    <t>S</t>
  </si>
  <si>
    <t>D</t>
  </si>
  <si>
    <t>N</t>
  </si>
  <si>
    <t>T</t>
  </si>
  <si>
    <t>COORDINADOR DE OPERACIONES</t>
  </si>
  <si>
    <t>hr</t>
  </si>
  <si>
    <t xml:space="preserve">INGENIERIA Y SOPORTE TEC. </t>
  </si>
  <si>
    <t>SUPERVISOR DE SEGURIDAD CERTIFICADO</t>
  </si>
  <si>
    <t>SUPERVISOR ELECTRICO</t>
  </si>
  <si>
    <t>TECNICO DE PRUEBAS ELECTRICAS</t>
  </si>
  <si>
    <t>CABO OBRA ELECTRICA</t>
  </si>
  <si>
    <t>LINIERO</t>
  </si>
  <si>
    <t>TECNICO EN INSTRUMENTACION</t>
  </si>
  <si>
    <t>ASISTENTE DE DISEÑO</t>
  </si>
  <si>
    <t>ELECTRICISTA -B</t>
  </si>
  <si>
    <t>ELECTRICISTA -A</t>
  </si>
  <si>
    <t>AUXILIAR TECNICO</t>
  </si>
  <si>
    <t>AYTE ELECTRICO - B</t>
  </si>
  <si>
    <t>AYTE DE ELECTR.  -A</t>
  </si>
  <si>
    <t>AYTE GENERAL</t>
  </si>
  <si>
    <t>INGENIERO DE SUBESTACIONES</t>
  </si>
  <si>
    <t>INGENIERO DE PRUEBAS ELECTRICAS</t>
  </si>
  <si>
    <t>ING. ESPECIALISTA EN PROTECCIONES</t>
  </si>
  <si>
    <t>SUPERINTENDENTE</t>
  </si>
  <si>
    <t>SUBT 2</t>
  </si>
  <si>
    <t>SUBT.</t>
  </si>
  <si>
    <t>SUMA M.O.</t>
  </si>
  <si>
    <t xml:space="preserve">HERRAMIENTA MENOR </t>
  </si>
  <si>
    <t>1 a 10%</t>
  </si>
  <si>
    <t xml:space="preserve">VEHICULOS </t>
  </si>
  <si>
    <t>HR IDA</t>
  </si>
  <si>
    <t>HR RETORNO</t>
  </si>
  <si>
    <t>HR SITIO</t>
  </si>
  <si>
    <t>SUMA</t>
  </si>
  <si>
    <t>HR</t>
  </si>
  <si>
    <t>camioneta TORNADO  Tornado sin operador sin combustible</t>
  </si>
  <si>
    <t>pza</t>
  </si>
  <si>
    <t>Km. Recorrido (incluye conbustible y depresiación de Vehiculo</t>
  </si>
  <si>
    <t>KM</t>
  </si>
  <si>
    <t>SUBT 4</t>
  </si>
  <si>
    <t>COMBUSTIBLE</t>
  </si>
  <si>
    <t>KM IDA</t>
  </si>
  <si>
    <t>KM RETORNO</t>
  </si>
  <si>
    <t>KM SITIO</t>
  </si>
  <si>
    <t>GASOLINA MAGNA</t>
  </si>
  <si>
    <t>LT</t>
  </si>
  <si>
    <t>DIESEL</t>
  </si>
  <si>
    <t>SUBT 5</t>
  </si>
  <si>
    <t>CASETAS</t>
  </si>
  <si>
    <t>CASETA</t>
  </si>
  <si>
    <t>camioneta pick up</t>
  </si>
  <si>
    <t>SUBT 6</t>
  </si>
  <si>
    <t>VIATICOS</t>
  </si>
  <si>
    <t>ALIMENTOS</t>
  </si>
  <si>
    <t>CONSUMO DE ALIMENTOS</t>
  </si>
  <si>
    <t>HOSPEDAJE</t>
  </si>
  <si>
    <t xml:space="preserve">HOTEL </t>
  </si>
  <si>
    <t>NOCHES</t>
  </si>
  <si>
    <t>SUBT 8</t>
  </si>
  <si>
    <t>SUMA:</t>
  </si>
  <si>
    <t xml:space="preserve">EQUIPO DE PRUEBA </t>
  </si>
  <si>
    <t>TR</t>
  </si>
  <si>
    <t>S.E</t>
  </si>
  <si>
    <t>Megger</t>
  </si>
  <si>
    <t>jr</t>
  </si>
  <si>
    <t>TTR</t>
  </si>
  <si>
    <t>Factor de Potencia de 2.5 KV</t>
  </si>
  <si>
    <t>Factor de Potencia de 10.5 KV</t>
  </si>
  <si>
    <t>Ducter</t>
  </si>
  <si>
    <t>resistencia óhmica</t>
  </si>
  <si>
    <t>hipot de 80 KV vcd</t>
  </si>
  <si>
    <t>Rigidez dieléctrica al aceite 60 kv</t>
  </si>
  <si>
    <t>Terrómetro</t>
  </si>
  <si>
    <t>Analizador de tiempos de interruptor</t>
  </si>
  <si>
    <t>Fuente de corriente para calibrador de relevadores</t>
  </si>
  <si>
    <t>Probador de relevador de Protecciones</t>
  </si>
  <si>
    <t>Fuente trifasica de voltaje</t>
  </si>
  <si>
    <t>Analizador de energía trifásica</t>
  </si>
  <si>
    <t>Medidor de presión y llenado de gas SF6</t>
  </si>
  <si>
    <t>Medidor de secuencia de fases</t>
  </si>
  <si>
    <t>Unidad de Pba y config. Para relevadores de Int. ABB</t>
  </si>
  <si>
    <t>Máquina centrifugadora de aceite</t>
  </si>
  <si>
    <t>Luxómetro</t>
  </si>
  <si>
    <t>Generador de Luz con combustible</t>
  </si>
  <si>
    <t>SUBT 9</t>
  </si>
  <si>
    <t>INDIRECTO DISPONIBLE</t>
  </si>
  <si>
    <t>COSTO DIRECTO</t>
  </si>
  <si>
    <t>Indirectos</t>
  </si>
  <si>
    <t>Subtotal 1</t>
  </si>
  <si>
    <t>BASE IMPUESTO</t>
  </si>
  <si>
    <t>Financ.</t>
  </si>
  <si>
    <t>COMPRAS</t>
  </si>
  <si>
    <t>Subtotal 2</t>
  </si>
  <si>
    <t>M.O</t>
  </si>
  <si>
    <t xml:space="preserve">Utilidad </t>
  </si>
  <si>
    <t>GASTOS FACTURADOS</t>
  </si>
  <si>
    <t>Importe</t>
  </si>
  <si>
    <t xml:space="preserve">FACTOR </t>
  </si>
  <si>
    <t>utilidad</t>
  </si>
  <si>
    <t>ime</t>
  </si>
  <si>
    <t>comisión</t>
  </si>
  <si>
    <t>total</t>
  </si>
  <si>
    <t>Materiales</t>
  </si>
  <si>
    <t>Total</t>
  </si>
  <si>
    <t>IMP. 30%</t>
  </si>
  <si>
    <t xml:space="preserve">ESPECIALISTA DE MANTTO  ELECTRICO </t>
  </si>
  <si>
    <t>OFICIAL ELECTRICO/ELECTROMECANICO</t>
  </si>
  <si>
    <t>IMPUESTO</t>
  </si>
  <si>
    <t>SIN UTILIDAD</t>
  </si>
  <si>
    <t>REV-06-feb-2021</t>
  </si>
  <si>
    <t>camioneta EXPRES VAN CARGO sin operador sin combustible</t>
  </si>
  <si>
    <t>camioneta RANGER  sin operador sin combustible</t>
  </si>
  <si>
    <t>camioneta WV TRANSPORTER pasajeros</t>
  </si>
  <si>
    <t>MANO DE OBRA</t>
  </si>
  <si>
    <t>MATERIALES</t>
  </si>
  <si>
    <t>www.immee.com.mx</t>
  </si>
  <si>
    <t xml:space="preserve">                                 Apoyando el consumo inteligente de energía eléctrica </t>
  </si>
  <si>
    <t>Presente</t>
  </si>
  <si>
    <t>No.</t>
  </si>
  <si>
    <t>CONCEPTO</t>
  </si>
  <si>
    <t>UNIDIDAD</t>
  </si>
  <si>
    <t>CANTIDAD</t>
  </si>
  <si>
    <t>P.U</t>
  </si>
  <si>
    <t xml:space="preserve">SUBTOTAL: </t>
  </si>
  <si>
    <t>CONDICIONES TÉCNICO-COMERCIALES:</t>
  </si>
  <si>
    <t>3.- Al importe se le aplicará el impuesto IVA al facturar.</t>
  </si>
  <si>
    <t>5.- Precios en moneda nacional.</t>
  </si>
  <si>
    <t>Atentamente:</t>
  </si>
  <si>
    <t>Ing. José Esteban Garcia Monrroy.</t>
  </si>
  <si>
    <t>Gerencia Técnica.</t>
  </si>
  <si>
    <t>VLF</t>
  </si>
  <si>
    <t>Camara termografica</t>
  </si>
  <si>
    <t>Test Kit maleta de prueba G.E.</t>
  </si>
  <si>
    <t>Analizador de energía trifásica METREL</t>
  </si>
  <si>
    <t>PERSONAL PEOPUESTO</t>
  </si>
  <si>
    <t>NOTA:  CONSIDERAR LA JORNADA DE 8.0 HORAS, AUNQUE EN IMMEE SE TRABAJE JORNADA LARGA CONVENIDA, Y DOMINGO DESCANSO</t>
  </si>
  <si>
    <t>HORA NORMAL</t>
  </si>
  <si>
    <t>Dom, ó Fest.TRIPLE</t>
  </si>
  <si>
    <t>ADRIAN</t>
  </si>
  <si>
    <t>HECTOR</t>
  </si>
  <si>
    <t xml:space="preserve">SUPERVISOR DE SEGURIDAD </t>
  </si>
  <si>
    <t>JOSE J</t>
  </si>
  <si>
    <t>OSCAR-OSWALDO JIM</t>
  </si>
  <si>
    <t>GERMAN</t>
  </si>
  <si>
    <t>URIEL-GUILLERMO-ENRIQUE</t>
  </si>
  <si>
    <t>OSWALDO Z-GABRIEL</t>
  </si>
  <si>
    <t>PROFESIONISTA</t>
  </si>
  <si>
    <t>O.ZARCO-GABRIEL</t>
  </si>
  <si>
    <t>REV-01-ENE-2024</t>
  </si>
  <si>
    <t>IMMEE</t>
  </si>
  <si>
    <t>13% IND   15% IMPTO</t>
  </si>
  <si>
    <t>4.- Vigencia de la cotización: 15 dias del calendario.</t>
  </si>
  <si>
    <t>SERV.</t>
  </si>
  <si>
    <t>Calle Aquiles Serdán S/N</t>
  </si>
  <si>
    <t>C. P. 42820, Michimaloya Centro, Tula de Allende Hgo.</t>
  </si>
  <si>
    <t>Oficina +52 (773) 7240055</t>
  </si>
  <si>
    <t>immee_013@hotmail.com</t>
  </si>
  <si>
    <t>Camion</t>
  </si>
  <si>
    <t>Consumible</t>
  </si>
  <si>
    <t>Grua Articulada</t>
  </si>
  <si>
    <t>grua articulada</t>
  </si>
  <si>
    <t>camion</t>
  </si>
  <si>
    <t>2.- Condiciones economicas: 100% contra entrega de trabajo.</t>
  </si>
  <si>
    <t>Ing Delfino Gutierrez Campillo/ Ing  Jose Luis Mendoza</t>
  </si>
  <si>
    <t>AMG ELECTRIC</t>
  </si>
  <si>
    <t xml:space="preserve">Servicio con camion grua para realizar maniobras de recolectar, trasladar y entregar a pie de camion 7 unidades de tableros con S.E para media tension tipo rmu con 3 celdas cada una, en gabinete tipo interperie de bodega Tula a parque al parque industrial PYME los CUES QRO  se consideran tres viajes dos con tres unidades y un viaje con una unidad </t>
  </si>
  <si>
    <t xml:space="preserve">Servicio con camion grua para realizar maniobras de recolectar, trasladar y entregar a pie de camion 6 unidades de tableros con S.E para media tension tipo rmu con 3 celdas cada una, en gabinete tipo interperie de bodega Tula a parque al parque industrial San miguel Allende guanajuato  se consideran 2 viajes  cada uno con tres unidades </t>
  </si>
  <si>
    <t xml:space="preserve">camion </t>
  </si>
  <si>
    <t>COT. IMM-045-2025</t>
  </si>
  <si>
    <t>Tula de Allende Hgo, a 12 de Febrero del 2025</t>
  </si>
  <si>
    <t xml:space="preserve">1.- Plazo de ejecución: 5 diferentes eventos de una jornada cada viaje, 3  para  PYME y dos para San Miguel de Allende Guanajuato </t>
  </si>
  <si>
    <r>
      <rPr>
        <sz val="14"/>
        <rFont val="Arial"/>
        <family val="2"/>
      </rPr>
      <t xml:space="preserve">Atendiendo a su amable solicitud, le presentamos a su consideración el presupuesto por el servicio de </t>
    </r>
    <r>
      <rPr>
        <b/>
        <sz val="14"/>
        <rFont val="Arial"/>
        <family val="2"/>
      </rPr>
      <t xml:space="preserve">"Servicio con camión grúa para realizar maniobras de recolectar, traslado y entregar a pie de camión 7 unidades de tableros con S.E para media tensión tipo rmu con 3 celdas cada una, en gabinete tipo intemperie de bodega Tula a parque al parque industrial PYME los QUES QRO  o otro servicio a San miguel Allende Guanajuato  con 6 unidades " </t>
    </r>
    <r>
      <rPr>
        <sz val="14"/>
        <rFont val="Arial"/>
        <family val="2"/>
      </rPr>
      <t>en base al siguiente alcance.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</si>
</sst>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3">
    <numFmt numFmtId="43" formatCode="_-* #,##0.00_-;\-* #,##0.00_-;_-* &quot;-&quot;??_-;_-@_-"/>
    <numFmt numFmtId="164" formatCode="_-* #,##0.00\ &quot;€&quot;_-;\-* #,##0.00\ &quot;€&quot;_-;_-* &quot;-&quot;??\ &quot;€&quot;_-;_-@_-"/>
    <numFmt numFmtId="165" formatCode="_-* #,##0.00\ _P_t_s_-;\-* #,##0.00\ _P_t_s_-;_-* &quot;-&quot;??\ _P_t_s_-;_-@_-"/>
    <numFmt numFmtId="166" formatCode="_-* #,##0.00\ _€_-;\-* #,##0.00\ _€_-;_-* &quot;-&quot;??\ _€_-;_-@_-"/>
    <numFmt numFmtId="167" formatCode="0.0000"/>
    <numFmt numFmtId="168" formatCode="0.0"/>
    <numFmt numFmtId="169" formatCode="_(* #,##0.00_);_(* \(#,##0.00\);_(* &quot;-&quot;??_);_(@_)"/>
    <numFmt numFmtId="170" formatCode="0.0%"/>
    <numFmt numFmtId="171" formatCode="0.000"/>
    <numFmt numFmtId="172" formatCode="_(&quot;$&quot;* #,##0.00_);_(&quot;$&quot;* \(#,##0.00\);_(&quot;$&quot;* &quot;-&quot;??_);_(@_)"/>
    <numFmt numFmtId="173" formatCode="_-[$$-80A]* #,##0.00_-;\-[$$-80A]* #,##0.00_-;_-[$$-80A]* &quot;-&quot;??_-;_-@_-"/>
    <numFmt numFmtId="174" formatCode="[$$-80A]#,##0.00"/>
    <numFmt numFmtId="175" formatCode="_-* #,##0.0000_-;\-* #,##0.0000_-;_-* &quot;-&quot;??_-;_-@_-"/>
  </numFmts>
  <fonts count="35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Arial"/>
      <family val="2"/>
    </font>
    <font>
      <b/>
      <sz val="14"/>
      <color rgb="FF0070C0"/>
      <name val="Calibri"/>
      <family val="2"/>
    </font>
    <font>
      <b/>
      <sz val="12"/>
      <name val="Calibri"/>
      <family val="2"/>
    </font>
    <font>
      <sz val="12"/>
      <color theme="1"/>
      <name val="Calibri"/>
      <family val="2"/>
    </font>
    <font>
      <b/>
      <sz val="12"/>
      <color rgb="FF0070C0"/>
      <name val="Calibri"/>
      <family val="2"/>
    </font>
    <font>
      <b/>
      <sz val="12"/>
      <color rgb="FFFF0000"/>
      <name val="Calibri"/>
      <family val="2"/>
    </font>
    <font>
      <sz val="12"/>
      <name val="Calibri"/>
      <family val="2"/>
    </font>
    <font>
      <b/>
      <sz val="12"/>
      <color theme="4"/>
      <name val="Calibri"/>
      <family val="2"/>
    </font>
    <font>
      <sz val="12"/>
      <color rgb="FF0070C0"/>
      <name val="Calibri"/>
      <family val="2"/>
    </font>
    <font>
      <sz val="12"/>
      <color theme="0" tint="-0.499984740745262"/>
      <name val="Calibri"/>
      <family val="2"/>
    </font>
    <font>
      <b/>
      <sz val="12"/>
      <color theme="0"/>
      <name val="Calibri"/>
      <family val="2"/>
    </font>
    <font>
      <sz val="1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rgb="FF3F3F3F"/>
      <name val="Calibri"/>
      <family val="2"/>
      <scheme val="minor"/>
    </font>
    <font>
      <sz val="10"/>
      <name val="Calibri"/>
      <family val="2"/>
      <scheme val="minor"/>
    </font>
    <font>
      <sz val="10"/>
      <color theme="4" tint="-0.499984740745262"/>
      <name val="Candara"/>
      <family val="2"/>
    </font>
    <font>
      <sz val="12"/>
      <color theme="4" tint="-0.499984740745262"/>
      <name val="Candara"/>
      <family val="2"/>
    </font>
    <font>
      <sz val="13"/>
      <color theme="3" tint="-0.249977111117893"/>
      <name val="Calibri Light"/>
      <family val="1"/>
      <scheme val="major"/>
    </font>
    <font>
      <sz val="13"/>
      <name val="Calibri"/>
      <family val="2"/>
      <scheme val="minor"/>
    </font>
    <font>
      <sz val="13"/>
      <color theme="1"/>
      <name val="Calibri"/>
      <family val="2"/>
      <scheme val="minor"/>
    </font>
    <font>
      <sz val="13"/>
      <color indexed="23"/>
      <name val="Calibri"/>
      <family val="2"/>
      <scheme val="minor"/>
    </font>
    <font>
      <sz val="12"/>
      <name val="Calibri"/>
      <family val="2"/>
      <scheme val="minor"/>
    </font>
    <font>
      <sz val="12"/>
      <name val="Arial"/>
      <family val="2"/>
    </font>
    <font>
      <sz val="14"/>
      <name val="Calibri"/>
      <family val="2"/>
      <scheme val="minor"/>
    </font>
    <font>
      <sz val="14"/>
      <name val="Arial"/>
      <family val="2"/>
    </font>
    <font>
      <u/>
      <sz val="11"/>
      <color theme="10"/>
      <name val="Calibri"/>
      <family val="2"/>
      <scheme val="minor"/>
    </font>
    <font>
      <b/>
      <sz val="14"/>
      <color rgb="FF3F3F3F"/>
      <name val="Arial"/>
      <family val="2"/>
    </font>
    <font>
      <b/>
      <sz val="14"/>
      <name val="Arial"/>
      <family val="2"/>
    </font>
    <font>
      <b/>
      <sz val="14"/>
      <color theme="0"/>
      <name val="Arial"/>
      <family val="2"/>
    </font>
    <font>
      <i/>
      <sz val="14"/>
      <name val="Arial"/>
      <family val="2"/>
    </font>
    <font>
      <sz val="14"/>
      <color indexed="8"/>
      <name val="Arial"/>
      <family val="2"/>
    </font>
    <font>
      <b/>
      <sz val="14"/>
      <color indexed="8"/>
      <name val="Arial"/>
      <family val="2"/>
    </font>
    <font>
      <sz val="14"/>
      <color indexed="23"/>
      <name val="Arial"/>
      <family val="2"/>
    </font>
  </fonts>
  <fills count="19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F2F2F2"/>
      </patternFill>
    </fill>
    <fill>
      <patternFill patternType="solid">
        <fgColor rgb="FF002060"/>
        <bgColor indexed="64"/>
      </patternFill>
    </fill>
    <fill>
      <patternFill patternType="solid">
        <fgColor rgb="FF000066"/>
        <bgColor indexed="64"/>
      </patternFill>
    </fill>
    <fill>
      <patternFill patternType="solid">
        <fgColor indexed="9"/>
        <bgColor indexed="64"/>
      </patternFill>
    </fill>
  </fills>
  <borders count="2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theme="8" tint="-0.24994659260841701"/>
      </left>
      <right style="thin">
        <color theme="8" tint="-0.24994659260841701"/>
      </right>
      <top style="thin">
        <color theme="8" tint="-0.24994659260841701"/>
      </top>
      <bottom style="thin">
        <color theme="8" tint="-0.24994659260841701"/>
      </bottom>
      <diagonal/>
    </border>
    <border>
      <left style="thin">
        <color theme="8" tint="-0.24994659260841701"/>
      </left>
      <right style="thin">
        <color theme="8" tint="-0.24994659260841701"/>
      </right>
      <top style="thin">
        <color theme="8" tint="-0.24994659260841701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medium">
        <color rgb="FF002060"/>
      </top>
      <bottom/>
      <diagonal/>
    </border>
    <border>
      <left style="thin">
        <color theme="0" tint="-4.9989318521683403E-2"/>
      </left>
      <right/>
      <top style="thin">
        <color theme="0" tint="-4.9989318521683403E-2"/>
      </top>
      <bottom style="thin">
        <color theme="0" tint="-4.9989318521683403E-2"/>
      </bottom>
      <diagonal/>
    </border>
    <border>
      <left/>
      <right style="thin">
        <color theme="0" tint="-4.9989318521683403E-2"/>
      </right>
      <top style="thin">
        <color theme="0" tint="-4.9989318521683403E-2"/>
      </top>
      <bottom style="thin">
        <color theme="0" tint="-4.9989318521683403E-2"/>
      </bottom>
      <diagonal/>
    </border>
    <border>
      <left/>
      <right/>
      <top style="thin">
        <color indexed="64"/>
      </top>
      <bottom/>
      <diagonal/>
    </border>
    <border>
      <left style="thin">
        <color theme="0" tint="-0.499984740745262"/>
      </left>
      <right style="thin">
        <color theme="0" tint="-0.499984740745262"/>
      </right>
      <top/>
      <bottom style="thin">
        <color theme="0" tint="-0.499984740745262"/>
      </bottom>
      <diagonal/>
    </border>
    <border>
      <left style="thin">
        <color theme="0" tint="-0.499984740745262"/>
      </left>
      <right style="thin">
        <color rgb="FF3F3F3F"/>
      </right>
      <top/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/>
      <bottom/>
      <diagonal/>
    </border>
  </borders>
  <cellStyleXfs count="9">
    <xf numFmtId="0" fontId="0" fillId="0" borderId="0"/>
    <xf numFmtId="0" fontId="1" fillId="0" borderId="0"/>
    <xf numFmtId="165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15" fillId="15" borderId="16" applyNumberFormat="0" applyAlignment="0" applyProtection="0"/>
    <xf numFmtId="165" fontId="1" fillId="0" borderId="0" applyFont="0" applyFill="0" applyBorder="0" applyAlignment="0" applyProtection="0"/>
    <xf numFmtId="164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0" fontId="27" fillId="0" borderId="0" applyNumberFormat="0" applyFill="0" applyBorder="0" applyAlignment="0" applyProtection="0"/>
  </cellStyleXfs>
  <cellXfs count="279">
    <xf numFmtId="0" fontId="0" fillId="0" borderId="0" xfId="0"/>
    <xf numFmtId="0" fontId="5" fillId="0" borderId="0" xfId="1" applyFont="1"/>
    <xf numFmtId="0" fontId="6" fillId="2" borderId="0" xfId="1" applyFont="1" applyFill="1"/>
    <xf numFmtId="0" fontId="7" fillId="2" borderId="0" xfId="1" applyFont="1" applyFill="1"/>
    <xf numFmtId="0" fontId="8" fillId="2" borderId="1" xfId="1" applyFont="1" applyFill="1" applyBorder="1" applyAlignment="1">
      <alignment horizontal="center"/>
    </xf>
    <xf numFmtId="0" fontId="5" fillId="0" borderId="0" xfId="1" applyFont="1" applyAlignment="1">
      <alignment horizontal="center" vertical="center"/>
    </xf>
    <xf numFmtId="2" fontId="4" fillId="3" borderId="1" xfId="1" applyNumberFormat="1" applyFont="1" applyFill="1" applyBorder="1" applyAlignment="1">
      <alignment horizontal="center"/>
    </xf>
    <xf numFmtId="0" fontId="8" fillId="2" borderId="0" xfId="1" applyFont="1" applyFill="1"/>
    <xf numFmtId="167" fontId="4" fillId="2" borderId="0" xfId="1" applyNumberFormat="1" applyFont="1" applyFill="1" applyAlignment="1">
      <alignment horizontal="center"/>
    </xf>
    <xf numFmtId="2" fontId="4" fillId="2" borderId="0" xfId="1" applyNumberFormat="1" applyFont="1" applyFill="1" applyAlignment="1">
      <alignment horizontal="center" vertical="center"/>
    </xf>
    <xf numFmtId="0" fontId="10" fillId="2" borderId="0" xfId="1" applyFont="1" applyFill="1"/>
    <xf numFmtId="0" fontId="4" fillId="3" borderId="1" xfId="1" applyFont="1" applyFill="1" applyBorder="1" applyAlignment="1">
      <alignment horizontal="center" vertical="center" wrapText="1"/>
    </xf>
    <xf numFmtId="2" fontId="4" fillId="2" borderId="5" xfId="1" applyNumberFormat="1" applyFont="1" applyFill="1" applyBorder="1" applyAlignment="1">
      <alignment horizontal="center"/>
    </xf>
    <xf numFmtId="2" fontId="4" fillId="2" borderId="1" xfId="1" applyNumberFormat="1" applyFont="1" applyFill="1" applyBorder="1" applyAlignment="1">
      <alignment horizontal="center" vertical="center"/>
    </xf>
    <xf numFmtId="2" fontId="4" fillId="2" borderId="1" xfId="1" applyNumberFormat="1" applyFont="1" applyFill="1" applyBorder="1" applyAlignment="1">
      <alignment horizontal="center"/>
    </xf>
    <xf numFmtId="0" fontId="8" fillId="2" borderId="1" xfId="1" applyFont="1" applyFill="1" applyBorder="1" applyAlignment="1">
      <alignment horizontal="center" vertical="center" wrapText="1"/>
    </xf>
    <xf numFmtId="0" fontId="5" fillId="2" borderId="0" xfId="1" applyFont="1" applyFill="1"/>
    <xf numFmtId="0" fontId="5" fillId="2" borderId="0" xfId="1" applyFont="1" applyFill="1" applyAlignment="1">
      <alignment horizontal="center"/>
    </xf>
    <xf numFmtId="0" fontId="8" fillId="0" borderId="0" xfId="1" applyFont="1"/>
    <xf numFmtId="165" fontId="4" fillId="3" borderId="1" xfId="2" applyFont="1" applyFill="1" applyBorder="1" applyAlignment="1">
      <alignment horizontal="center"/>
    </xf>
    <xf numFmtId="2" fontId="4" fillId="0" borderId="1" xfId="1" applyNumberFormat="1" applyFont="1" applyBorder="1" applyAlignment="1">
      <alignment horizontal="center"/>
    </xf>
    <xf numFmtId="0" fontId="8" fillId="3" borderId="1" xfId="1" applyFont="1" applyFill="1" applyBorder="1" applyAlignment="1">
      <alignment horizontal="center" vertical="center"/>
    </xf>
    <xf numFmtId="2" fontId="4" fillId="2" borderId="0" xfId="1" applyNumberFormat="1" applyFont="1" applyFill="1" applyAlignment="1">
      <alignment horizontal="center"/>
    </xf>
    <xf numFmtId="0" fontId="8" fillId="2" borderId="0" xfId="1" applyFont="1" applyFill="1" applyAlignment="1">
      <alignment horizontal="center" vertical="center"/>
    </xf>
    <xf numFmtId="0" fontId="8" fillId="3" borderId="2" xfId="1" applyFont="1" applyFill="1" applyBorder="1"/>
    <xf numFmtId="0" fontId="8" fillId="3" borderId="4" xfId="1" applyFont="1" applyFill="1" applyBorder="1"/>
    <xf numFmtId="9" fontId="4" fillId="3" borderId="1" xfId="1" applyNumberFormat="1" applyFont="1" applyFill="1" applyBorder="1" applyAlignment="1">
      <alignment horizontal="center"/>
    </xf>
    <xf numFmtId="0" fontId="4" fillId="2" borderId="0" xfId="1" applyFont="1" applyFill="1"/>
    <xf numFmtId="0" fontId="4" fillId="6" borderId="4" xfId="1" applyFont="1" applyFill="1" applyBorder="1" applyAlignment="1">
      <alignment horizontal="center"/>
    </xf>
    <xf numFmtId="2" fontId="5" fillId="2" borderId="1" xfId="1" applyNumberFormat="1" applyFont="1" applyFill="1" applyBorder="1" applyAlignment="1">
      <alignment horizontal="center"/>
    </xf>
    <xf numFmtId="2" fontId="5" fillId="2" borderId="0" xfId="1" applyNumberFormat="1" applyFont="1" applyFill="1" applyAlignment="1">
      <alignment horizontal="center"/>
    </xf>
    <xf numFmtId="0" fontId="5" fillId="2" borderId="1" xfId="1" applyFont="1" applyFill="1" applyBorder="1" applyAlignment="1">
      <alignment horizontal="center" vertical="center"/>
    </xf>
    <xf numFmtId="0" fontId="5" fillId="0" borderId="1" xfId="1" applyFont="1" applyBorder="1" applyAlignment="1">
      <alignment horizontal="center"/>
    </xf>
    <xf numFmtId="2" fontId="5" fillId="0" borderId="1" xfId="1" applyNumberFormat="1" applyFont="1" applyBorder="1" applyAlignment="1">
      <alignment horizontal="center"/>
    </xf>
    <xf numFmtId="2" fontId="4" fillId="6" borderId="1" xfId="1" applyNumberFormat="1" applyFont="1" applyFill="1" applyBorder="1" applyAlignment="1">
      <alignment horizontal="center"/>
    </xf>
    <xf numFmtId="0" fontId="8" fillId="6" borderId="1" xfId="1" applyFont="1" applyFill="1" applyBorder="1" applyAlignment="1">
      <alignment horizontal="center" vertical="center"/>
    </xf>
    <xf numFmtId="0" fontId="5" fillId="0" borderId="1" xfId="1" applyFont="1" applyBorder="1" applyAlignment="1">
      <alignment horizontal="center" vertical="center"/>
    </xf>
    <xf numFmtId="0" fontId="4" fillId="2" borderId="0" xfId="1" applyFont="1" applyFill="1" applyAlignment="1">
      <alignment horizontal="left"/>
    </xf>
    <xf numFmtId="0" fontId="4" fillId="2" borderId="0" xfId="1" applyFont="1" applyFill="1" applyAlignment="1">
      <alignment horizontal="center"/>
    </xf>
    <xf numFmtId="0" fontId="8" fillId="0" borderId="1" xfId="1" applyFont="1" applyBorder="1" applyAlignment="1">
      <alignment horizontal="center" vertical="center"/>
    </xf>
    <xf numFmtId="169" fontId="5" fillId="0" borderId="0" xfId="1" applyNumberFormat="1" applyFont="1"/>
    <xf numFmtId="2" fontId="5" fillId="0" borderId="0" xfId="1" applyNumberFormat="1" applyFont="1"/>
    <xf numFmtId="0" fontId="8" fillId="2" borderId="0" xfId="1" applyFont="1" applyFill="1" applyAlignment="1">
      <alignment horizontal="right"/>
    </xf>
    <xf numFmtId="0" fontId="4" fillId="5" borderId="4" xfId="1" applyFont="1" applyFill="1" applyBorder="1" applyAlignment="1">
      <alignment horizontal="center"/>
    </xf>
    <xf numFmtId="0" fontId="4" fillId="5" borderId="2" xfId="1" applyFont="1" applyFill="1" applyBorder="1" applyAlignment="1">
      <alignment horizontal="center"/>
    </xf>
    <xf numFmtId="1" fontId="4" fillId="0" borderId="6" xfId="1" applyNumberFormat="1" applyFont="1" applyBorder="1" applyAlignment="1">
      <alignment horizontal="center"/>
    </xf>
    <xf numFmtId="0" fontId="4" fillId="2" borderId="6" xfId="1" applyFont="1" applyFill="1" applyBorder="1" applyAlignment="1">
      <alignment horizontal="center"/>
    </xf>
    <xf numFmtId="0" fontId="8" fillId="2" borderId="0" xfId="1" applyFont="1" applyFill="1" applyAlignment="1">
      <alignment horizontal="left"/>
    </xf>
    <xf numFmtId="1" fontId="5" fillId="0" borderId="2" xfId="1" applyNumberFormat="1" applyFont="1" applyBorder="1" applyAlignment="1">
      <alignment horizontal="center"/>
    </xf>
    <xf numFmtId="2" fontId="5" fillId="0" borderId="6" xfId="1" applyNumberFormat="1" applyFont="1" applyBorder="1" applyAlignment="1">
      <alignment horizontal="center" vertical="center"/>
    </xf>
    <xf numFmtId="1" fontId="11" fillId="2" borderId="6" xfId="1" applyNumberFormat="1" applyFont="1" applyFill="1" applyBorder="1" applyAlignment="1">
      <alignment horizontal="center" vertical="center"/>
    </xf>
    <xf numFmtId="1" fontId="4" fillId="2" borderId="6" xfId="1" applyNumberFormat="1" applyFont="1" applyFill="1" applyBorder="1" applyAlignment="1">
      <alignment horizontal="center" vertical="center"/>
    </xf>
    <xf numFmtId="0" fontId="8" fillId="7" borderId="1" xfId="1" applyFont="1" applyFill="1" applyBorder="1" applyAlignment="1">
      <alignment horizontal="center"/>
    </xf>
    <xf numFmtId="0" fontId="5" fillId="7" borderId="1" xfId="1" applyFont="1" applyFill="1" applyBorder="1" applyAlignment="1">
      <alignment horizontal="center" vertical="center"/>
    </xf>
    <xf numFmtId="1" fontId="5" fillId="7" borderId="2" xfId="1" applyNumberFormat="1" applyFont="1" applyFill="1" applyBorder="1" applyAlignment="1">
      <alignment horizontal="center"/>
    </xf>
    <xf numFmtId="2" fontId="5" fillId="2" borderId="6" xfId="1" applyNumberFormat="1" applyFont="1" applyFill="1" applyBorder="1" applyAlignment="1">
      <alignment horizontal="center" vertical="center"/>
    </xf>
    <xf numFmtId="0" fontId="8" fillId="8" borderId="1" xfId="1" applyFont="1" applyFill="1" applyBorder="1" applyAlignment="1">
      <alignment horizontal="center"/>
    </xf>
    <xf numFmtId="0" fontId="5" fillId="8" borderId="1" xfId="1" applyFont="1" applyFill="1" applyBorder="1" applyAlignment="1">
      <alignment horizontal="center" vertical="center"/>
    </xf>
    <xf numFmtId="1" fontId="5" fillId="8" borderId="2" xfId="1" applyNumberFormat="1" applyFont="1" applyFill="1" applyBorder="1" applyAlignment="1">
      <alignment horizontal="center"/>
    </xf>
    <xf numFmtId="0" fontId="5" fillId="0" borderId="6" xfId="1" applyFont="1" applyBorder="1" applyAlignment="1">
      <alignment horizontal="center"/>
    </xf>
    <xf numFmtId="1" fontId="5" fillId="2" borderId="2" xfId="1" applyNumberFormat="1" applyFont="1" applyFill="1" applyBorder="1" applyAlignment="1">
      <alignment horizontal="center"/>
    </xf>
    <xf numFmtId="0" fontId="5" fillId="2" borderId="6" xfId="1" applyFont="1" applyFill="1" applyBorder="1" applyAlignment="1">
      <alignment horizontal="center"/>
    </xf>
    <xf numFmtId="2" fontId="5" fillId="2" borderId="0" xfId="1" applyNumberFormat="1" applyFont="1" applyFill="1"/>
    <xf numFmtId="0" fontId="4" fillId="0" borderId="1" xfId="1" applyFont="1" applyBorder="1" applyAlignment="1">
      <alignment horizontal="center"/>
    </xf>
    <xf numFmtId="0" fontId="5" fillId="0" borderId="6" xfId="1" applyFont="1" applyBorder="1" applyAlignment="1">
      <alignment horizontal="left"/>
    </xf>
    <xf numFmtId="2" fontId="5" fillId="0" borderId="7" xfId="1" applyNumberFormat="1" applyFont="1" applyBorder="1" applyAlignment="1">
      <alignment horizontal="center"/>
    </xf>
    <xf numFmtId="1" fontId="11" fillId="2" borderId="7" xfId="1" applyNumberFormat="1" applyFont="1" applyFill="1" applyBorder="1" applyAlignment="1">
      <alignment horizontal="center" vertical="center"/>
    </xf>
    <xf numFmtId="1" fontId="4" fillId="2" borderId="7" xfId="1" applyNumberFormat="1" applyFont="1" applyFill="1" applyBorder="1" applyAlignment="1">
      <alignment horizontal="center" vertical="center"/>
    </xf>
    <xf numFmtId="2" fontId="4" fillId="0" borderId="8" xfId="1" applyNumberFormat="1" applyFont="1" applyBorder="1" applyAlignment="1">
      <alignment horizontal="center"/>
    </xf>
    <xf numFmtId="0" fontId="8" fillId="0" borderId="9" xfId="1" applyFont="1" applyBorder="1"/>
    <xf numFmtId="1" fontId="8" fillId="0" borderId="10" xfId="1" applyNumberFormat="1" applyFont="1" applyBorder="1"/>
    <xf numFmtId="9" fontId="4" fillId="0" borderId="0" xfId="3" applyFont="1" applyFill="1" applyBorder="1" applyAlignment="1">
      <alignment horizontal="center"/>
    </xf>
    <xf numFmtId="166" fontId="5" fillId="0" borderId="0" xfId="1" applyNumberFormat="1" applyFont="1"/>
    <xf numFmtId="2" fontId="4" fillId="9" borderId="2" xfId="1" applyNumberFormat="1" applyFont="1" applyFill="1" applyBorder="1" applyAlignment="1">
      <alignment horizontal="center" vertical="center"/>
    </xf>
    <xf numFmtId="0" fontId="4" fillId="2" borderId="1" xfId="1" applyFont="1" applyFill="1" applyBorder="1" applyAlignment="1">
      <alignment horizontal="center" vertical="center"/>
    </xf>
    <xf numFmtId="10" fontId="4" fillId="2" borderId="1" xfId="1" applyNumberFormat="1" applyFont="1" applyFill="1" applyBorder="1" applyAlignment="1">
      <alignment horizontal="center" vertical="center"/>
    </xf>
    <xf numFmtId="2" fontId="8" fillId="2" borderId="0" xfId="1" applyNumberFormat="1" applyFont="1" applyFill="1" applyAlignment="1">
      <alignment horizontal="center" vertical="center"/>
    </xf>
    <xf numFmtId="0" fontId="8" fillId="2" borderId="1" xfId="1" applyFont="1" applyFill="1" applyBorder="1" applyAlignment="1">
      <alignment horizontal="center" vertical="center"/>
    </xf>
    <xf numFmtId="9" fontId="4" fillId="2" borderId="1" xfId="1" applyNumberFormat="1" applyFont="1" applyFill="1" applyBorder="1" applyAlignment="1">
      <alignment horizontal="center" vertical="center"/>
    </xf>
    <xf numFmtId="2" fontId="4" fillId="0" borderId="0" xfId="1" applyNumberFormat="1" applyFont="1"/>
    <xf numFmtId="2" fontId="4" fillId="0" borderId="0" xfId="1" applyNumberFormat="1" applyFont="1" applyAlignment="1">
      <alignment horizontal="right"/>
    </xf>
    <xf numFmtId="2" fontId="4" fillId="9" borderId="1" xfId="1" applyNumberFormat="1" applyFont="1" applyFill="1" applyBorder="1" applyAlignment="1">
      <alignment horizontal="right"/>
    </xf>
    <xf numFmtId="170" fontId="4" fillId="2" borderId="1" xfId="1" applyNumberFormat="1" applyFont="1" applyFill="1" applyBorder="1" applyAlignment="1">
      <alignment horizontal="center" vertical="center"/>
    </xf>
    <xf numFmtId="2" fontId="4" fillId="0" borderId="1" xfId="1" applyNumberFormat="1" applyFont="1" applyBorder="1" applyAlignment="1">
      <alignment horizontal="center" vertical="center"/>
    </xf>
    <xf numFmtId="2" fontId="4" fillId="9" borderId="1" xfId="1" applyNumberFormat="1" applyFont="1" applyFill="1" applyBorder="1" applyAlignment="1">
      <alignment horizontal="center" vertical="center"/>
    </xf>
    <xf numFmtId="2" fontId="4" fillId="10" borderId="1" xfId="1" applyNumberFormat="1" applyFont="1" applyFill="1" applyBorder="1" applyAlignment="1">
      <alignment horizontal="center" vertical="center"/>
    </xf>
    <xf numFmtId="171" fontId="4" fillId="2" borderId="0" xfId="1" applyNumberFormat="1" applyFont="1" applyFill="1" applyAlignment="1">
      <alignment horizontal="right" vertical="center"/>
    </xf>
    <xf numFmtId="167" fontId="4" fillId="2" borderId="1" xfId="1" applyNumberFormat="1" applyFont="1" applyFill="1" applyBorder="1" applyAlignment="1">
      <alignment horizontal="center" vertical="center"/>
    </xf>
    <xf numFmtId="0" fontId="4" fillId="9" borderId="0" xfId="1" applyFont="1" applyFill="1" applyAlignment="1">
      <alignment horizontal="center" vertical="center"/>
    </xf>
    <xf numFmtId="171" fontId="4" fillId="9" borderId="1" xfId="1" applyNumberFormat="1" applyFont="1" applyFill="1" applyBorder="1" applyAlignment="1">
      <alignment horizontal="center" vertical="center"/>
    </xf>
    <xf numFmtId="9" fontId="4" fillId="2" borderId="1" xfId="3" applyFont="1" applyFill="1" applyBorder="1" applyAlignment="1">
      <alignment horizontal="center" vertical="center"/>
    </xf>
    <xf numFmtId="2" fontId="12" fillId="2" borderId="0" xfId="1" applyNumberFormat="1" applyFont="1" applyFill="1"/>
    <xf numFmtId="0" fontId="4" fillId="2" borderId="0" xfId="1" applyFont="1" applyFill="1" applyAlignment="1">
      <alignment horizontal="center" vertical="center"/>
    </xf>
    <xf numFmtId="165" fontId="4" fillId="2" borderId="0" xfId="2" applyFont="1" applyFill="1" applyBorder="1" applyAlignment="1">
      <alignment horizontal="center" vertical="center"/>
    </xf>
    <xf numFmtId="10" fontId="4" fillId="2" borderId="0" xfId="1" applyNumberFormat="1" applyFont="1" applyFill="1" applyAlignment="1">
      <alignment horizontal="center" vertical="center"/>
    </xf>
    <xf numFmtId="171" fontId="8" fillId="0" borderId="0" xfId="1" applyNumberFormat="1" applyFont="1"/>
    <xf numFmtId="165" fontId="5" fillId="0" borderId="0" xfId="2" applyFont="1"/>
    <xf numFmtId="2" fontId="4" fillId="6" borderId="1" xfId="1" applyNumberFormat="1" applyFont="1" applyFill="1" applyBorder="1" applyAlignment="1">
      <alignment horizontal="center" vertical="center"/>
    </xf>
    <xf numFmtId="2" fontId="4" fillId="11" borderId="1" xfId="1" applyNumberFormat="1" applyFont="1" applyFill="1" applyBorder="1" applyAlignment="1">
      <alignment horizontal="center" vertical="center"/>
    </xf>
    <xf numFmtId="2" fontId="5" fillId="0" borderId="2" xfId="1" applyNumberFormat="1" applyFont="1" applyBorder="1" applyAlignment="1">
      <alignment horizontal="center"/>
    </xf>
    <xf numFmtId="0" fontId="0" fillId="2" borderId="0" xfId="0" applyFill="1"/>
    <xf numFmtId="0" fontId="8" fillId="2" borderId="0" xfId="1" applyFont="1" applyFill="1" applyAlignment="1">
      <alignment horizontal="center"/>
    </xf>
    <xf numFmtId="0" fontId="13" fillId="2" borderId="0" xfId="0" applyFont="1" applyFill="1"/>
    <xf numFmtId="2" fontId="4" fillId="12" borderId="1" xfId="1" applyNumberFormat="1" applyFont="1" applyFill="1" applyBorder="1" applyAlignment="1">
      <alignment horizontal="center"/>
    </xf>
    <xf numFmtId="0" fontId="5" fillId="12" borderId="0" xfId="1" applyFont="1" applyFill="1"/>
    <xf numFmtId="0" fontId="5" fillId="12" borderId="0" xfId="1" applyFont="1" applyFill="1" applyAlignment="1">
      <alignment horizontal="center"/>
    </xf>
    <xf numFmtId="0" fontId="0" fillId="12" borderId="0" xfId="0" applyFill="1"/>
    <xf numFmtId="0" fontId="8" fillId="3" borderId="1" xfId="1" applyFont="1" applyFill="1" applyBorder="1" applyAlignment="1">
      <alignment horizontal="center" vertical="center" wrapText="1"/>
    </xf>
    <xf numFmtId="0" fontId="7" fillId="3" borderId="1" xfId="1" applyFont="1" applyFill="1" applyBorder="1" applyAlignment="1">
      <alignment horizontal="center" vertical="center" wrapText="1"/>
    </xf>
    <xf numFmtId="0" fontId="5" fillId="3" borderId="1" xfId="1" applyFont="1" applyFill="1" applyBorder="1"/>
    <xf numFmtId="2" fontId="4" fillId="4" borderId="2" xfId="1" applyNumberFormat="1" applyFont="1" applyFill="1" applyBorder="1" applyAlignment="1">
      <alignment horizontal="center"/>
    </xf>
    <xf numFmtId="2" fontId="4" fillId="9" borderId="0" xfId="1" applyNumberFormat="1" applyFont="1" applyFill="1"/>
    <xf numFmtId="2" fontId="4" fillId="3" borderId="0" xfId="1" applyNumberFormat="1" applyFont="1" applyFill="1"/>
    <xf numFmtId="2" fontId="4" fillId="3" borderId="1" xfId="1" applyNumberFormat="1" applyFont="1" applyFill="1" applyBorder="1"/>
    <xf numFmtId="2" fontId="4" fillId="13" borderId="1" xfId="1" applyNumberFormat="1" applyFont="1" applyFill="1" applyBorder="1" applyAlignment="1">
      <alignment horizontal="center" vertical="center"/>
    </xf>
    <xf numFmtId="2" fontId="4" fillId="13" borderId="2" xfId="1" applyNumberFormat="1" applyFont="1" applyFill="1" applyBorder="1" applyAlignment="1">
      <alignment horizontal="center" vertical="center"/>
    </xf>
    <xf numFmtId="2" fontId="4" fillId="14" borderId="13" xfId="1" applyNumberFormat="1" applyFont="1" applyFill="1" applyBorder="1" applyAlignment="1">
      <alignment horizontal="center" vertical="center"/>
    </xf>
    <xf numFmtId="2" fontId="4" fillId="14" borderId="1" xfId="1" applyNumberFormat="1" applyFont="1" applyFill="1" applyBorder="1" applyAlignment="1">
      <alignment horizontal="center" vertical="center"/>
    </xf>
    <xf numFmtId="0" fontId="4" fillId="6" borderId="1" xfId="1" applyFont="1" applyFill="1" applyBorder="1" applyAlignment="1">
      <alignment horizontal="center"/>
    </xf>
    <xf numFmtId="0" fontId="4" fillId="5" borderId="1" xfId="1" applyFont="1" applyFill="1" applyBorder="1" applyAlignment="1">
      <alignment horizontal="center"/>
    </xf>
    <xf numFmtId="0" fontId="5" fillId="0" borderId="0" xfId="1" applyFont="1" applyAlignment="1">
      <alignment horizontal="center"/>
    </xf>
    <xf numFmtId="0" fontId="4" fillId="3" borderId="1" xfId="1" applyFont="1" applyFill="1" applyBorder="1" applyAlignment="1">
      <alignment horizontal="center" vertical="center"/>
    </xf>
    <xf numFmtId="0" fontId="4" fillId="3" borderId="1" xfId="1" applyFont="1" applyFill="1" applyBorder="1" applyAlignment="1">
      <alignment horizontal="center"/>
    </xf>
    <xf numFmtId="0" fontId="8" fillId="0" borderId="1" xfId="1" applyFont="1" applyBorder="1" applyAlignment="1">
      <alignment horizontal="center"/>
    </xf>
    <xf numFmtId="0" fontId="4" fillId="2" borderId="1" xfId="1" applyFont="1" applyFill="1" applyBorder="1" applyAlignment="1">
      <alignment horizontal="center"/>
    </xf>
    <xf numFmtId="0" fontId="4" fillId="4" borderId="1" xfId="1" applyFont="1" applyFill="1" applyBorder="1" applyAlignment="1">
      <alignment horizontal="center"/>
    </xf>
    <xf numFmtId="0" fontId="5" fillId="11" borderId="0" xfId="1" applyFont="1" applyFill="1"/>
    <xf numFmtId="2" fontId="5" fillId="2" borderId="1" xfId="1" applyNumberFormat="1" applyFont="1" applyFill="1" applyBorder="1" applyAlignment="1">
      <alignment horizontal="center" vertical="center"/>
    </xf>
    <xf numFmtId="0" fontId="7" fillId="12" borderId="1" xfId="1" applyFont="1" applyFill="1" applyBorder="1" applyAlignment="1">
      <alignment horizontal="center"/>
    </xf>
    <xf numFmtId="2" fontId="7" fillId="12" borderId="1" xfId="1" applyNumberFormat="1" applyFont="1" applyFill="1" applyBorder="1" applyAlignment="1">
      <alignment horizontal="center"/>
    </xf>
    <xf numFmtId="165" fontId="5" fillId="2" borderId="0" xfId="2" applyFont="1" applyFill="1" applyAlignment="1">
      <alignment horizontal="center"/>
    </xf>
    <xf numFmtId="2" fontId="8" fillId="2" borderId="0" xfId="1" applyNumberFormat="1" applyFont="1" applyFill="1" applyAlignment="1">
      <alignment horizontal="right"/>
    </xf>
    <xf numFmtId="0" fontId="5" fillId="2" borderId="0" xfId="1" applyFont="1" applyFill="1" applyAlignment="1">
      <alignment horizontal="right"/>
    </xf>
    <xf numFmtId="169" fontId="5" fillId="2" borderId="0" xfId="1" applyNumberFormat="1" applyFont="1" applyFill="1"/>
    <xf numFmtId="2" fontId="8" fillId="2" borderId="0" xfId="1" applyNumberFormat="1" applyFont="1" applyFill="1" applyAlignment="1">
      <alignment horizontal="center"/>
    </xf>
    <xf numFmtId="2" fontId="8" fillId="2" borderId="0" xfId="1" applyNumberFormat="1" applyFont="1" applyFill="1"/>
    <xf numFmtId="9" fontId="8" fillId="2" borderId="0" xfId="1" applyNumberFormat="1" applyFont="1" applyFill="1"/>
    <xf numFmtId="9" fontId="8" fillId="2" borderId="0" xfId="3" applyFont="1" applyFill="1" applyBorder="1"/>
    <xf numFmtId="166" fontId="5" fillId="2" borderId="0" xfId="1" applyNumberFormat="1" applyFont="1" applyFill="1"/>
    <xf numFmtId="0" fontId="5" fillId="2" borderId="0" xfId="1" applyFont="1" applyFill="1" applyAlignment="1">
      <alignment horizontal="center" vertical="center"/>
    </xf>
    <xf numFmtId="0" fontId="5" fillId="2" borderId="0" xfId="1" applyFont="1" applyFill="1" applyAlignment="1">
      <alignment vertical="center"/>
    </xf>
    <xf numFmtId="170" fontId="5" fillId="2" borderId="0" xfId="1" applyNumberFormat="1" applyFont="1" applyFill="1" applyAlignment="1">
      <alignment vertical="center"/>
    </xf>
    <xf numFmtId="165" fontId="4" fillId="2" borderId="0" xfId="2" applyFont="1" applyFill="1" applyBorder="1" applyAlignment="1">
      <alignment horizontal="center"/>
    </xf>
    <xf numFmtId="0" fontId="7" fillId="2" borderId="0" xfId="1" applyFont="1" applyFill="1" applyAlignment="1">
      <alignment horizontal="center" vertical="center"/>
    </xf>
    <xf numFmtId="0" fontId="9" fillId="2" borderId="0" xfId="1" applyFont="1" applyFill="1"/>
    <xf numFmtId="0" fontId="8" fillId="12" borderId="1" xfId="1" applyFont="1" applyFill="1" applyBorder="1"/>
    <xf numFmtId="0" fontId="7" fillId="12" borderId="1" xfId="1" applyFont="1" applyFill="1" applyBorder="1" applyAlignment="1">
      <alignment horizontal="center" vertical="center"/>
    </xf>
    <xf numFmtId="168" fontId="7" fillId="12" borderId="1" xfId="1" applyNumberFormat="1" applyFont="1" applyFill="1" applyBorder="1" applyAlignment="1">
      <alignment horizontal="center"/>
    </xf>
    <xf numFmtId="2" fontId="8" fillId="8" borderId="1" xfId="1" applyNumberFormat="1" applyFont="1" applyFill="1" applyBorder="1" applyAlignment="1">
      <alignment horizontal="center"/>
    </xf>
    <xf numFmtId="0" fontId="16" fillId="0" borderId="0" xfId="0" applyFont="1"/>
    <xf numFmtId="0" fontId="17" fillId="0" borderId="0" xfId="0" applyFont="1"/>
    <xf numFmtId="0" fontId="16" fillId="0" borderId="0" xfId="1" applyFont="1"/>
    <xf numFmtId="0" fontId="17" fillId="0" borderId="0" xfId="0" applyFont="1" applyAlignment="1">
      <alignment wrapText="1"/>
    </xf>
    <xf numFmtId="0" fontId="16" fillId="2" borderId="0" xfId="0" applyFont="1" applyFill="1"/>
    <xf numFmtId="166" fontId="16" fillId="0" borderId="0" xfId="5" applyNumberFormat="1" applyFont="1"/>
    <xf numFmtId="0" fontId="21" fillId="0" borderId="0" xfId="1" applyFont="1"/>
    <xf numFmtId="0" fontId="22" fillId="0" borderId="0" xfId="1" applyFont="1"/>
    <xf numFmtId="0" fontId="1" fillId="0" borderId="0" xfId="1"/>
    <xf numFmtId="0" fontId="23" fillId="0" borderId="0" xfId="0" applyFont="1"/>
    <xf numFmtId="0" fontId="24" fillId="0" borderId="0" xfId="1" applyFont="1"/>
    <xf numFmtId="0" fontId="23" fillId="0" borderId="0" xfId="1" applyFont="1"/>
    <xf numFmtId="0" fontId="20" fillId="0" borderId="0" xfId="1" applyFont="1"/>
    <xf numFmtId="0" fontId="23" fillId="0" borderId="0" xfId="0" applyFont="1" applyAlignment="1">
      <alignment vertical="center"/>
    </xf>
    <xf numFmtId="0" fontId="25" fillId="0" borderId="0" xfId="1" applyFont="1"/>
    <xf numFmtId="0" fontId="26" fillId="0" borderId="0" xfId="1" applyFont="1"/>
    <xf numFmtId="0" fontId="5" fillId="0" borderId="7" xfId="1" applyFont="1" applyBorder="1" applyAlignment="1">
      <alignment horizontal="left"/>
    </xf>
    <xf numFmtId="0" fontId="4" fillId="2" borderId="2" xfId="1" applyFont="1" applyFill="1" applyBorder="1" applyAlignment="1">
      <alignment horizontal="left"/>
    </xf>
    <xf numFmtId="0" fontId="4" fillId="2" borderId="3" xfId="1" applyFont="1" applyFill="1" applyBorder="1" applyAlignment="1">
      <alignment horizontal="left"/>
    </xf>
    <xf numFmtId="0" fontId="4" fillId="2" borderId="4" xfId="1" applyFont="1" applyFill="1" applyBorder="1" applyAlignment="1">
      <alignment horizontal="left"/>
    </xf>
    <xf numFmtId="10" fontId="5" fillId="2" borderId="0" xfId="1" applyNumberFormat="1" applyFont="1" applyFill="1"/>
    <xf numFmtId="175" fontId="5" fillId="2" borderId="0" xfId="7" applyNumberFormat="1" applyFont="1" applyFill="1" applyAlignment="1">
      <alignment vertical="center"/>
    </xf>
    <xf numFmtId="2" fontId="4" fillId="2" borderId="1" xfId="7" applyNumberFormat="1" applyFont="1" applyFill="1" applyBorder="1" applyAlignment="1">
      <alignment horizontal="center" vertical="center"/>
    </xf>
    <xf numFmtId="0" fontId="4" fillId="2" borderId="20" xfId="1" applyFont="1" applyFill="1" applyBorder="1" applyAlignment="1">
      <alignment horizontal="left"/>
    </xf>
    <xf numFmtId="2" fontId="4" fillId="2" borderId="20" xfId="1" applyNumberFormat="1" applyFont="1" applyFill="1" applyBorder="1" applyAlignment="1">
      <alignment horizontal="center"/>
    </xf>
    <xf numFmtId="0" fontId="4" fillId="6" borderId="5" xfId="1" applyFont="1" applyFill="1" applyBorder="1" applyAlignment="1">
      <alignment horizontal="center"/>
    </xf>
    <xf numFmtId="9" fontId="4" fillId="2" borderId="0" xfId="1" applyNumberFormat="1" applyFont="1" applyFill="1" applyAlignment="1">
      <alignment horizontal="center"/>
    </xf>
    <xf numFmtId="174" fontId="28" fillId="2" borderId="22" xfId="4" applyNumberFormat="1" applyFont="1" applyFill="1" applyBorder="1" applyAlignment="1">
      <alignment horizontal="center" vertical="center" wrapText="1"/>
    </xf>
    <xf numFmtId="0" fontId="26" fillId="0" borderId="17" xfId="0" applyFont="1" applyBorder="1"/>
    <xf numFmtId="0" fontId="26" fillId="2" borderId="17" xfId="0" applyFont="1" applyFill="1" applyBorder="1"/>
    <xf numFmtId="166" fontId="26" fillId="0" borderId="17" xfId="5" applyNumberFormat="1" applyFont="1" applyBorder="1"/>
    <xf numFmtId="0" fontId="26" fillId="0" borderId="0" xfId="0" applyFont="1" applyAlignment="1">
      <alignment horizontal="center"/>
    </xf>
    <xf numFmtId="172" fontId="26" fillId="2" borderId="0" xfId="6" applyNumberFormat="1" applyFont="1" applyFill="1"/>
    <xf numFmtId="166" fontId="26" fillId="0" borderId="0" xfId="5" applyNumberFormat="1" applyFont="1"/>
    <xf numFmtId="0" fontId="26" fillId="0" borderId="0" xfId="1" applyFont="1" applyAlignment="1">
      <alignment horizontal="left" vertical="center"/>
    </xf>
    <xf numFmtId="0" fontId="26" fillId="0" borderId="0" xfId="0" applyFont="1"/>
    <xf numFmtId="168" fontId="26" fillId="2" borderId="1" xfId="4" applyNumberFormat="1" applyFont="1" applyFill="1" applyBorder="1" applyAlignment="1">
      <alignment horizontal="center" vertical="center" wrapText="1"/>
    </xf>
    <xf numFmtId="0" fontId="31" fillId="0" borderId="1" xfId="0" applyFont="1" applyBorder="1" applyAlignment="1">
      <alignment vertical="center" wrapText="1"/>
    </xf>
    <xf numFmtId="0" fontId="26" fillId="2" borderId="1" xfId="0" applyFont="1" applyFill="1" applyBorder="1" applyAlignment="1">
      <alignment horizontal="center" vertical="center"/>
    </xf>
    <xf numFmtId="168" fontId="26" fillId="2" borderId="1" xfId="0" applyNumberFormat="1" applyFont="1" applyFill="1" applyBorder="1" applyAlignment="1">
      <alignment horizontal="center" vertical="center"/>
    </xf>
    <xf numFmtId="173" fontId="26" fillId="2" borderId="1" xfId="6" applyNumberFormat="1" applyFont="1" applyFill="1" applyBorder="1" applyAlignment="1">
      <alignment horizontal="center" vertical="center"/>
    </xf>
    <xf numFmtId="173" fontId="26" fillId="2" borderId="1" xfId="0" applyNumberFormat="1" applyFont="1" applyFill="1" applyBorder="1" applyAlignment="1">
      <alignment horizontal="center" vertical="center"/>
    </xf>
    <xf numFmtId="0" fontId="32" fillId="0" borderId="0" xfId="1" applyFont="1"/>
    <xf numFmtId="0" fontId="32" fillId="0" borderId="0" xfId="1" applyFont="1" applyAlignment="1">
      <alignment horizontal="left"/>
    </xf>
    <xf numFmtId="165" fontId="33" fillId="0" borderId="0" xfId="5" applyFont="1" applyBorder="1" applyAlignment="1">
      <alignment horizontal="left"/>
    </xf>
    <xf numFmtId="0" fontId="30" fillId="17" borderId="21" xfId="0" applyFont="1" applyFill="1" applyBorder="1" applyAlignment="1">
      <alignment horizontal="center" vertical="center"/>
    </xf>
    <xf numFmtId="0" fontId="33" fillId="0" borderId="0" xfId="1" applyFont="1" applyAlignment="1">
      <alignment vertical="center"/>
    </xf>
    <xf numFmtId="0" fontId="32" fillId="2" borderId="0" xfId="1" applyFont="1" applyFill="1"/>
    <xf numFmtId="2" fontId="32" fillId="0" borderId="0" xfId="1" applyNumberFormat="1" applyFont="1"/>
    <xf numFmtId="0" fontId="26" fillId="0" borderId="0" xfId="1" applyFont="1" applyAlignment="1">
      <alignment horizontal="justify" vertical="center"/>
    </xf>
    <xf numFmtId="0" fontId="29" fillId="18" borderId="0" xfId="0" applyFont="1" applyFill="1" applyAlignment="1">
      <alignment horizontal="left" vertical="center" wrapText="1"/>
    </xf>
    <xf numFmtId="0" fontId="26" fillId="18" borderId="0" xfId="0" applyFont="1" applyFill="1" applyAlignment="1">
      <alignment horizontal="left" vertical="center" wrapText="1"/>
    </xf>
    <xf numFmtId="0" fontId="29" fillId="18" borderId="0" xfId="0" applyFont="1" applyFill="1" applyAlignment="1">
      <alignment horizontal="left" wrapText="1"/>
    </xf>
    <xf numFmtId="0" fontId="29" fillId="2" borderId="0" xfId="0" applyFont="1" applyFill="1" applyAlignment="1">
      <alignment horizontal="left" wrapText="1"/>
    </xf>
    <xf numFmtId="166" fontId="29" fillId="18" borderId="0" xfId="5" applyNumberFormat="1" applyFont="1" applyFill="1" applyBorder="1" applyAlignment="1">
      <alignment horizontal="left" wrapText="1"/>
    </xf>
    <xf numFmtId="0" fontId="34" fillId="0" borderId="0" xfId="0" applyFont="1"/>
    <xf numFmtId="0" fontId="34" fillId="2" borderId="0" xfId="0" applyFont="1" applyFill="1"/>
    <xf numFmtId="166" fontId="34" fillId="0" borderId="0" xfId="5" applyNumberFormat="1" applyFont="1"/>
    <xf numFmtId="0" fontId="26" fillId="0" borderId="0" xfId="0" applyFont="1" applyAlignment="1">
      <alignment horizontal="center"/>
    </xf>
    <xf numFmtId="0" fontId="19" fillId="0" borderId="0" xfId="0" applyFont="1" applyAlignment="1">
      <alignment horizontal="left"/>
    </xf>
    <xf numFmtId="0" fontId="29" fillId="0" borderId="0" xfId="1" applyFont="1" applyAlignment="1">
      <alignment horizontal="left" vertical="center"/>
    </xf>
    <xf numFmtId="0" fontId="26" fillId="0" borderId="0" xfId="0" applyFont="1" applyAlignment="1">
      <alignment horizontal="right"/>
    </xf>
    <xf numFmtId="0" fontId="29" fillId="0" borderId="0" xfId="0" applyFont="1" applyAlignment="1">
      <alignment horizontal="left" vertical="center" wrapText="1"/>
    </xf>
    <xf numFmtId="0" fontId="30" fillId="16" borderId="18" xfId="0" applyFont="1" applyFill="1" applyBorder="1" applyAlignment="1">
      <alignment horizontal="center" vertical="center"/>
    </xf>
    <xf numFmtId="0" fontId="30" fillId="16" borderId="19" xfId="0" applyFont="1" applyFill="1" applyBorder="1" applyAlignment="1">
      <alignment horizontal="center" vertical="center"/>
    </xf>
    <xf numFmtId="0" fontId="18" fillId="0" borderId="0" xfId="0" applyFont="1" applyAlignment="1">
      <alignment horizontal="right" wrapText="1"/>
    </xf>
    <xf numFmtId="0" fontId="27" fillId="0" borderId="0" xfId="8" applyAlignment="1">
      <alignment horizontal="right" wrapText="1"/>
    </xf>
    <xf numFmtId="0" fontId="26" fillId="0" borderId="0" xfId="0" applyFont="1" applyAlignment="1">
      <alignment horizontal="center" vertical="center"/>
    </xf>
    <xf numFmtId="0" fontId="26" fillId="0" borderId="0" xfId="0" applyFont="1" applyAlignment="1">
      <alignment horizontal="center"/>
    </xf>
    <xf numFmtId="0" fontId="26" fillId="0" borderId="0" xfId="1" applyFont="1" applyAlignment="1">
      <alignment horizontal="center"/>
    </xf>
    <xf numFmtId="0" fontId="32" fillId="0" borderId="0" xfId="1" applyFont="1" applyAlignment="1">
      <alignment horizontal="justify" vertical="center"/>
    </xf>
    <xf numFmtId="0" fontId="8" fillId="0" borderId="2" xfId="1" applyFont="1" applyBorder="1" applyAlignment="1">
      <alignment horizontal="center"/>
    </xf>
    <xf numFmtId="0" fontId="8" fillId="0" borderId="3" xfId="1" applyFont="1" applyBorder="1" applyAlignment="1">
      <alignment horizontal="center"/>
    </xf>
    <xf numFmtId="0" fontId="8" fillId="0" borderId="4" xfId="1" applyFont="1" applyBorder="1" applyAlignment="1">
      <alignment horizontal="center"/>
    </xf>
    <xf numFmtId="0" fontId="3" fillId="2" borderId="0" xfId="1" applyFont="1" applyFill="1" applyAlignment="1">
      <alignment horizontal="center"/>
    </xf>
    <xf numFmtId="0" fontId="6" fillId="2" borderId="0" xfId="1" applyFont="1" applyFill="1" applyAlignment="1">
      <alignment horizontal="left"/>
    </xf>
    <xf numFmtId="0" fontId="4" fillId="3" borderId="1" xfId="1" applyFont="1" applyFill="1" applyBorder="1" applyAlignment="1">
      <alignment horizontal="center"/>
    </xf>
    <xf numFmtId="0" fontId="8" fillId="2" borderId="2" xfId="1" applyFont="1" applyFill="1" applyBorder="1" applyAlignment="1">
      <alignment horizontal="center"/>
    </xf>
    <xf numFmtId="0" fontId="8" fillId="2" borderId="3" xfId="1" applyFont="1" applyFill="1" applyBorder="1" applyAlignment="1">
      <alignment horizontal="center"/>
    </xf>
    <xf numFmtId="0" fontId="8" fillId="2" borderId="4" xfId="1" applyFont="1" applyFill="1" applyBorder="1" applyAlignment="1">
      <alignment horizontal="center"/>
    </xf>
    <xf numFmtId="0" fontId="4" fillId="0" borderId="3" xfId="1" applyFont="1" applyBorder="1" applyAlignment="1">
      <alignment horizontal="center" vertical="center"/>
    </xf>
    <xf numFmtId="0" fontId="4" fillId="0" borderId="4" xfId="1" applyFont="1" applyBorder="1" applyAlignment="1">
      <alignment horizontal="center" vertical="center"/>
    </xf>
    <xf numFmtId="0" fontId="4" fillId="3" borderId="1" xfId="1" applyFont="1" applyFill="1" applyBorder="1" applyAlignment="1">
      <alignment horizontal="center" vertical="center"/>
    </xf>
    <xf numFmtId="0" fontId="4" fillId="2" borderId="2" xfId="1" applyFont="1" applyFill="1" applyBorder="1" applyAlignment="1">
      <alignment horizontal="left"/>
    </xf>
    <xf numFmtId="0" fontId="4" fillId="2" borderId="3" xfId="1" applyFont="1" applyFill="1" applyBorder="1" applyAlignment="1">
      <alignment horizontal="left"/>
    </xf>
    <xf numFmtId="0" fontId="4" fillId="2" borderId="4" xfId="1" applyFont="1" applyFill="1" applyBorder="1" applyAlignment="1">
      <alignment horizontal="left"/>
    </xf>
    <xf numFmtId="0" fontId="4" fillId="2" borderId="1" xfId="1" applyFont="1" applyFill="1" applyBorder="1" applyAlignment="1">
      <alignment horizontal="left"/>
    </xf>
    <xf numFmtId="0" fontId="8" fillId="2" borderId="1" xfId="1" applyFont="1" applyFill="1" applyBorder="1" applyAlignment="1">
      <alignment horizontal="left" vertical="center" wrapText="1"/>
    </xf>
    <xf numFmtId="0" fontId="5" fillId="2" borderId="1" xfId="1" applyFont="1" applyFill="1" applyBorder="1" applyAlignment="1">
      <alignment horizontal="left" vertical="center" wrapText="1"/>
    </xf>
    <xf numFmtId="0" fontId="4" fillId="3" borderId="1" xfId="1" applyFont="1" applyFill="1" applyBorder="1" applyAlignment="1">
      <alignment horizontal="left"/>
    </xf>
    <xf numFmtId="0" fontId="7" fillId="2" borderId="1" xfId="1" applyFont="1" applyFill="1" applyBorder="1" applyAlignment="1">
      <alignment horizontal="left"/>
    </xf>
    <xf numFmtId="0" fontId="4" fillId="6" borderId="1" xfId="1" applyFont="1" applyFill="1" applyBorder="1" applyAlignment="1">
      <alignment horizontal="center"/>
    </xf>
    <xf numFmtId="0" fontId="8" fillId="0" borderId="1" xfId="1" applyFont="1" applyBorder="1" applyAlignment="1">
      <alignment horizontal="left"/>
    </xf>
    <xf numFmtId="0" fontId="5" fillId="0" borderId="1" xfId="1" applyFont="1" applyBorder="1" applyAlignment="1">
      <alignment horizontal="left"/>
    </xf>
    <xf numFmtId="0" fontId="4" fillId="6" borderId="14" xfId="1" applyFont="1" applyFill="1" applyBorder="1" applyAlignment="1">
      <alignment horizontal="center"/>
    </xf>
    <xf numFmtId="0" fontId="5" fillId="0" borderId="2" xfId="1" applyFont="1" applyBorder="1" applyAlignment="1">
      <alignment horizontal="left"/>
    </xf>
    <xf numFmtId="0" fontId="5" fillId="2" borderId="0" xfId="1" applyFont="1" applyFill="1" applyAlignment="1">
      <alignment horizontal="center"/>
    </xf>
    <xf numFmtId="0" fontId="4" fillId="5" borderId="1" xfId="1" applyFont="1" applyFill="1" applyBorder="1" applyAlignment="1">
      <alignment horizontal="center"/>
    </xf>
    <xf numFmtId="0" fontId="8" fillId="7" borderId="1" xfId="1" applyFont="1" applyFill="1" applyBorder="1" applyAlignment="1">
      <alignment horizontal="left"/>
    </xf>
    <xf numFmtId="0" fontId="5" fillId="7" borderId="1" xfId="1" applyFont="1" applyFill="1" applyBorder="1" applyAlignment="1">
      <alignment horizontal="left"/>
    </xf>
    <xf numFmtId="0" fontId="8" fillId="8" borderId="1" xfId="1" applyFont="1" applyFill="1" applyBorder="1" applyAlignment="1">
      <alignment horizontal="left"/>
    </xf>
    <xf numFmtId="0" fontId="5" fillId="8" borderId="1" xfId="1" applyFont="1" applyFill="1" applyBorder="1" applyAlignment="1">
      <alignment horizontal="left"/>
    </xf>
    <xf numFmtId="0" fontId="8" fillId="0" borderId="2" xfId="1" applyFont="1" applyBorder="1" applyAlignment="1">
      <alignment horizontal="left"/>
    </xf>
    <xf numFmtId="0" fontId="8" fillId="0" borderId="3" xfId="1" applyFont="1" applyBorder="1" applyAlignment="1">
      <alignment horizontal="left"/>
    </xf>
    <xf numFmtId="0" fontId="8" fillId="0" borderId="4" xfId="1" applyFont="1" applyBorder="1" applyAlignment="1">
      <alignment horizontal="left"/>
    </xf>
    <xf numFmtId="0" fontId="8" fillId="2" borderId="1" xfId="1" applyFont="1" applyFill="1" applyBorder="1" applyAlignment="1">
      <alignment horizontal="left"/>
    </xf>
    <xf numFmtId="0" fontId="5" fillId="2" borderId="1" xfId="1" applyFont="1" applyFill="1" applyBorder="1" applyAlignment="1">
      <alignment horizontal="left"/>
    </xf>
    <xf numFmtId="0" fontId="4" fillId="0" borderId="1" xfId="1" applyFont="1" applyBorder="1" applyAlignment="1">
      <alignment horizontal="left"/>
    </xf>
    <xf numFmtId="0" fontId="4" fillId="9" borderId="5" xfId="1" applyFont="1" applyFill="1" applyBorder="1" applyAlignment="1">
      <alignment horizontal="center" wrapText="1"/>
    </xf>
    <xf numFmtId="0" fontId="4" fillId="9" borderId="1" xfId="1" applyFont="1" applyFill="1" applyBorder="1" applyAlignment="1">
      <alignment horizontal="center" wrapText="1"/>
    </xf>
    <xf numFmtId="2" fontId="4" fillId="2" borderId="0" xfId="1" applyNumberFormat="1" applyFont="1" applyFill="1" applyAlignment="1">
      <alignment horizontal="center" vertical="center" wrapText="1"/>
    </xf>
    <xf numFmtId="0" fontId="8" fillId="2" borderId="0" xfId="1" applyFont="1" applyFill="1" applyAlignment="1">
      <alignment horizontal="center" wrapText="1"/>
    </xf>
    <xf numFmtId="0" fontId="4" fillId="9" borderId="14" xfId="1" applyFont="1" applyFill="1" applyBorder="1" applyAlignment="1">
      <alignment horizontal="center" vertical="center"/>
    </xf>
    <xf numFmtId="0" fontId="4" fillId="9" borderId="15" xfId="1" applyFont="1" applyFill="1" applyBorder="1" applyAlignment="1">
      <alignment horizontal="center" vertical="center"/>
    </xf>
    <xf numFmtId="0" fontId="5" fillId="10" borderId="1" xfId="1" applyFont="1" applyFill="1" applyBorder="1" applyAlignment="1">
      <alignment horizontal="center"/>
    </xf>
    <xf numFmtId="2" fontId="4" fillId="9" borderId="11" xfId="1" applyNumberFormat="1" applyFont="1" applyFill="1" applyBorder="1" applyAlignment="1">
      <alignment horizontal="center" vertical="center"/>
    </xf>
    <xf numFmtId="2" fontId="4" fillId="9" borderId="12" xfId="1" applyNumberFormat="1" applyFont="1" applyFill="1" applyBorder="1" applyAlignment="1">
      <alignment horizontal="center" vertical="center"/>
    </xf>
    <xf numFmtId="0" fontId="5" fillId="2" borderId="0" xfId="1" applyFont="1" applyFill="1" applyAlignment="1">
      <alignment horizontal="center" vertical="center" wrapText="1"/>
    </xf>
    <xf numFmtId="0" fontId="4" fillId="3" borderId="2" xfId="1" applyFont="1" applyFill="1" applyBorder="1" applyAlignment="1">
      <alignment horizontal="center" vertical="center"/>
    </xf>
    <xf numFmtId="0" fontId="4" fillId="3" borderId="3" xfId="1" applyFont="1" applyFill="1" applyBorder="1" applyAlignment="1">
      <alignment horizontal="center" vertical="center"/>
    </xf>
    <xf numFmtId="0" fontId="4" fillId="3" borderId="4" xfId="1" applyFont="1" applyFill="1" applyBorder="1" applyAlignment="1">
      <alignment horizontal="center" vertical="center"/>
    </xf>
    <xf numFmtId="0" fontId="8" fillId="0" borderId="1" xfId="1" applyFont="1" applyBorder="1" applyAlignment="1">
      <alignment horizontal="center"/>
    </xf>
    <xf numFmtId="0" fontId="4" fillId="0" borderId="2" xfId="1" applyFont="1" applyBorder="1" applyAlignment="1">
      <alignment horizontal="center"/>
    </xf>
    <xf numFmtId="0" fontId="4" fillId="0" borderId="3" xfId="1" applyFont="1" applyBorder="1" applyAlignment="1">
      <alignment horizontal="center"/>
    </xf>
    <xf numFmtId="0" fontId="4" fillId="0" borderId="4" xfId="1" applyFont="1" applyBorder="1" applyAlignment="1">
      <alignment horizontal="center"/>
    </xf>
    <xf numFmtId="0" fontId="4" fillId="3" borderId="13" xfId="1" applyFont="1" applyFill="1" applyBorder="1" applyAlignment="1">
      <alignment horizontal="left"/>
    </xf>
    <xf numFmtId="0" fontId="30" fillId="16" borderId="23" xfId="0" applyFont="1" applyFill="1" applyBorder="1" applyAlignment="1">
      <alignment horizontal="center" vertical="center"/>
    </xf>
    <xf numFmtId="0" fontId="30" fillId="17" borderId="23" xfId="0" applyFont="1" applyFill="1" applyBorder="1" applyAlignment="1">
      <alignment horizontal="center" vertical="center"/>
    </xf>
    <xf numFmtId="0" fontId="29" fillId="0" borderId="0" xfId="0" applyFont="1" applyBorder="1" applyAlignment="1">
      <alignment horizontal="left" vertical="center" wrapText="1"/>
    </xf>
    <xf numFmtId="0" fontId="1" fillId="0" borderId="0" xfId="1" applyBorder="1"/>
  </cellXfs>
  <cellStyles count="9">
    <cellStyle name="Hipervínculo" xfId="8" builtinId="8"/>
    <cellStyle name="Millares" xfId="7" builtinId="3"/>
    <cellStyle name="Millares 2" xfId="2"/>
    <cellStyle name="Millares 2 2" xfId="5"/>
    <cellStyle name="Moneda 2" xfId="6"/>
    <cellStyle name="Normal" xfId="0" builtinId="0"/>
    <cellStyle name="Normal 2" xfId="1"/>
    <cellStyle name="Porcentaje 2" xfId="3"/>
    <cellStyle name="Salida" xfId="4" builtinId="2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358588</xdr:colOff>
      <xdr:row>0</xdr:row>
      <xdr:rowOff>71718</xdr:rowOff>
    </xdr:from>
    <xdr:to>
      <xdr:col>1</xdr:col>
      <xdr:colOff>941294</xdr:colOff>
      <xdr:row>7</xdr:row>
      <xdr:rowOff>170329</xdr:rowOff>
    </xdr:to>
    <xdr:pic>
      <xdr:nvPicPr>
        <xdr:cNvPr id="2" name="Imagen 3">
          <a:extLst>
            <a:ext uri="{FF2B5EF4-FFF2-40B4-BE49-F238E27FC236}">
              <a16:creationId xmlns:a16="http://schemas.microsoft.com/office/drawing/2014/main" xmlns="" id="{0B6EE9AE-D818-40A0-A9E9-437542072F3A}"/>
            </a:ext>
          </a:extLst>
        </xdr:cNvPr>
        <xdr:cNvPicPr/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2435" t="8164" r="13882" b="10196"/>
        <a:stretch/>
      </xdr:blipFill>
      <xdr:spPr>
        <a:xfrm>
          <a:off x="358588" y="71718"/>
          <a:ext cx="1290918" cy="1362635"/>
        </a:xfrm>
        <a:prstGeom prst="rect">
          <a:avLst/>
        </a:prstGeom>
      </xdr:spPr>
    </xdr:pic>
    <xdr:clientData/>
  </xdr:twoCellAnchor>
  <xdr:twoCellAnchor editAs="oneCell">
    <xdr:from>
      <xdr:col>1</xdr:col>
      <xdr:colOff>4108076</xdr:colOff>
      <xdr:row>30</xdr:row>
      <xdr:rowOff>95711</xdr:rowOff>
    </xdr:from>
    <xdr:to>
      <xdr:col>1</xdr:col>
      <xdr:colOff>5757583</xdr:colOff>
      <xdr:row>35</xdr:row>
      <xdr:rowOff>81662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xmlns="" id="{4F809253-7467-4916-9208-88F30EFFAB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803401" y="10697036"/>
          <a:ext cx="1649507" cy="1081326"/>
        </a:xfrm>
        <a:prstGeom prst="rect">
          <a:avLst/>
        </a:prstGeom>
      </xdr:spPr>
    </xdr:pic>
    <xdr:clientData/>
  </xdr:twoCellAnchor>
  <xdr:twoCellAnchor>
    <xdr:from>
      <xdr:col>1</xdr:col>
      <xdr:colOff>3609415</xdr:colOff>
      <xdr:row>35</xdr:row>
      <xdr:rowOff>26894</xdr:rowOff>
    </xdr:from>
    <xdr:to>
      <xdr:col>2</xdr:col>
      <xdr:colOff>114300</xdr:colOff>
      <xdr:row>35</xdr:row>
      <xdr:rowOff>47625</xdr:rowOff>
    </xdr:to>
    <xdr:cxnSp macro="">
      <xdr:nvCxnSpPr>
        <xdr:cNvPr id="6" name="Conector recto 5">
          <a:extLst>
            <a:ext uri="{FF2B5EF4-FFF2-40B4-BE49-F238E27FC236}">
              <a16:creationId xmlns:a16="http://schemas.microsoft.com/office/drawing/2014/main" xmlns="" id="{23CA77EF-E522-4E89-B3AE-54C3CDD2B45B}"/>
            </a:ext>
          </a:extLst>
        </xdr:cNvPr>
        <xdr:cNvCxnSpPr/>
      </xdr:nvCxnSpPr>
      <xdr:spPr>
        <a:xfrm>
          <a:off x="4304740" y="11723594"/>
          <a:ext cx="2877110" cy="20731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mailto:immee_013@hotmail.com" TargetMode="External"/><Relationship Id="rId1" Type="http://schemas.openxmlformats.org/officeDocument/2006/relationships/hyperlink" Target="http://www.immee.com.mx/" TargetMode="External"/><Relationship Id="rId4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I78"/>
  <sheetViews>
    <sheetView showGridLines="0" tabSelected="1" view="pageBreakPreview" topLeftCell="A4" zoomScaleNormal="100" zoomScaleSheetLayoutView="100" workbookViewId="0">
      <selection activeCell="A16" sqref="A16:F16"/>
    </sheetView>
  </sheetViews>
  <sheetFormatPr baseColWidth="10" defaultColWidth="9.140625" defaultRowHeight="15" x14ac:dyDescent="0.2"/>
  <cols>
    <col min="1" max="1" width="10.42578125" style="159" bestFit="1" customWidth="1"/>
    <col min="2" max="2" width="95.5703125" style="159" customWidth="1"/>
    <col min="3" max="3" width="10.140625" style="159" customWidth="1"/>
    <col min="4" max="4" width="12.42578125" style="159" customWidth="1"/>
    <col min="5" max="5" width="21.7109375" style="159" customWidth="1"/>
    <col min="6" max="6" width="22" style="159" customWidth="1"/>
    <col min="7" max="7" width="21.42578125" style="159" customWidth="1"/>
    <col min="8" max="10" width="9.140625" style="159"/>
    <col min="11" max="11" width="13.42578125" style="159" customWidth="1"/>
    <col min="12" max="16384" width="9.140625" style="159"/>
  </cols>
  <sheetData>
    <row r="1" spans="1:9" s="151" customFormat="1" ht="19.5" customHeight="1" x14ac:dyDescent="0.25">
      <c r="A1" s="149"/>
      <c r="B1" s="149"/>
      <c r="C1" s="150"/>
      <c r="D1" s="214" t="s">
        <v>176</v>
      </c>
      <c r="E1" s="214"/>
      <c r="F1" s="214"/>
    </row>
    <row r="2" spans="1:9" s="151" customFormat="1" ht="14.25" customHeight="1" x14ac:dyDescent="0.25">
      <c r="A2" s="149"/>
      <c r="B2" s="149"/>
      <c r="C2" s="150"/>
      <c r="D2" s="214" t="s">
        <v>177</v>
      </c>
      <c r="E2" s="214"/>
      <c r="F2" s="214"/>
    </row>
    <row r="3" spans="1:9" s="151" customFormat="1" ht="14.25" customHeight="1" x14ac:dyDescent="0.25">
      <c r="A3" s="149"/>
      <c r="B3" s="149"/>
      <c r="C3" s="152"/>
      <c r="D3" s="214" t="s">
        <v>178</v>
      </c>
      <c r="E3" s="214"/>
      <c r="F3" s="214"/>
    </row>
    <row r="4" spans="1:9" s="151" customFormat="1" ht="14.25" customHeight="1" x14ac:dyDescent="0.25">
      <c r="A4" s="149"/>
      <c r="B4" s="149"/>
      <c r="C4" s="150"/>
      <c r="D4" s="214" t="s">
        <v>138</v>
      </c>
      <c r="E4" s="214"/>
      <c r="F4" s="214"/>
    </row>
    <row r="5" spans="1:9" s="151" customFormat="1" ht="14.25" customHeight="1" x14ac:dyDescent="0.25">
      <c r="A5" s="149"/>
      <c r="B5" s="149"/>
      <c r="C5" s="150"/>
      <c r="D5" s="215" t="s">
        <v>179</v>
      </c>
      <c r="E5" s="214"/>
      <c r="F5" s="214"/>
    </row>
    <row r="6" spans="1:9" s="151" customFormat="1" ht="9.75" customHeight="1" x14ac:dyDescent="0.2">
      <c r="A6" s="149"/>
      <c r="B6" s="149"/>
      <c r="C6" s="149"/>
      <c r="D6" s="149"/>
      <c r="E6" s="153"/>
      <c r="F6" s="154"/>
    </row>
    <row r="7" spans="1:9" s="151" customFormat="1" ht="12.75" x14ac:dyDescent="0.2">
      <c r="A7" s="149"/>
      <c r="B7" s="149"/>
      <c r="C7" s="149"/>
      <c r="D7" s="149"/>
      <c r="E7" s="153"/>
      <c r="F7" s="154"/>
    </row>
    <row r="8" spans="1:9" s="151" customFormat="1" ht="18" thickBot="1" x14ac:dyDescent="0.35">
      <c r="A8" s="149"/>
      <c r="B8" s="208" t="s">
        <v>139</v>
      </c>
      <c r="C8" s="208"/>
      <c r="D8" s="208"/>
      <c r="E8" s="208"/>
      <c r="F8" s="208"/>
    </row>
    <row r="9" spans="1:9" s="156" customFormat="1" ht="9" customHeight="1" x14ac:dyDescent="0.3">
      <c r="A9" s="177"/>
      <c r="B9" s="177"/>
      <c r="C9" s="177"/>
      <c r="D9" s="177"/>
      <c r="E9" s="178"/>
      <c r="F9" s="179"/>
      <c r="G9" s="155"/>
      <c r="H9" s="155"/>
      <c r="I9" s="155"/>
    </row>
    <row r="10" spans="1:9" s="157" customFormat="1" ht="18" x14ac:dyDescent="0.25">
      <c r="A10" s="209"/>
      <c r="B10" s="209"/>
      <c r="C10" s="210"/>
      <c r="D10" s="210"/>
      <c r="E10" s="210"/>
      <c r="F10" s="210"/>
    </row>
    <row r="11" spans="1:9" s="157" customFormat="1" ht="18" x14ac:dyDescent="0.25">
      <c r="A11" s="209" t="s">
        <v>186</v>
      </c>
      <c r="B11" s="209"/>
      <c r="C11" s="210" t="s">
        <v>192</v>
      </c>
      <c r="D11" s="210"/>
      <c r="E11" s="210"/>
      <c r="F11" s="210"/>
    </row>
    <row r="12" spans="1:9" s="157" customFormat="1" ht="18" x14ac:dyDescent="0.25">
      <c r="A12" s="209" t="s">
        <v>187</v>
      </c>
      <c r="B12" s="209"/>
      <c r="C12" s="180"/>
      <c r="D12" s="180"/>
      <c r="E12" s="181"/>
      <c r="F12" s="182"/>
    </row>
    <row r="13" spans="1:9" s="157" customFormat="1" ht="16.5" customHeight="1" x14ac:dyDescent="0.2"/>
    <row r="14" spans="1:9" s="157" customFormat="1" ht="18" x14ac:dyDescent="0.25">
      <c r="A14" s="183" t="s">
        <v>140</v>
      </c>
      <c r="B14" s="184"/>
      <c r="C14" s="207"/>
      <c r="D14" s="207"/>
      <c r="E14" s="212" t="s">
        <v>191</v>
      </c>
      <c r="F14" s="213"/>
    </row>
    <row r="15" spans="1:9" s="157" customFormat="1" ht="18" x14ac:dyDescent="0.2">
      <c r="A15" s="211"/>
      <c r="B15" s="211"/>
      <c r="C15" s="211"/>
      <c r="D15" s="211"/>
      <c r="E15" s="211"/>
      <c r="F15" s="211"/>
    </row>
    <row r="16" spans="1:9" s="157" customFormat="1" ht="95.25" customHeight="1" x14ac:dyDescent="0.2">
      <c r="A16" s="277" t="s">
        <v>194</v>
      </c>
      <c r="B16" s="277"/>
      <c r="C16" s="277"/>
      <c r="D16" s="277"/>
      <c r="E16" s="277"/>
      <c r="F16" s="277"/>
    </row>
    <row r="17" spans="1:7" s="157" customFormat="1" ht="12.75" x14ac:dyDescent="0.2">
      <c r="A17" s="278"/>
      <c r="B17" s="278"/>
      <c r="C17" s="278"/>
      <c r="D17" s="278"/>
      <c r="E17" s="278"/>
      <c r="F17" s="278"/>
    </row>
    <row r="18" spans="1:7" s="157" customFormat="1" ht="122.25" customHeight="1" x14ac:dyDescent="0.2">
      <c r="A18" s="275" t="s">
        <v>141</v>
      </c>
      <c r="B18" s="275" t="s">
        <v>142</v>
      </c>
      <c r="C18" s="275" t="s">
        <v>143</v>
      </c>
      <c r="D18" s="276" t="s">
        <v>144</v>
      </c>
      <c r="E18" s="276" t="s">
        <v>145</v>
      </c>
      <c r="F18" s="275" t="s">
        <v>0</v>
      </c>
    </row>
    <row r="19" spans="1:7" ht="24" customHeight="1" x14ac:dyDescent="0.2">
      <c r="A19" s="185">
        <v>1</v>
      </c>
      <c r="B19" s="186" t="s">
        <v>188</v>
      </c>
      <c r="C19" s="187" t="s">
        <v>175</v>
      </c>
      <c r="D19" s="188">
        <v>3</v>
      </c>
      <c r="E19" s="189">
        <f>M0!H97</f>
        <v>13545.017472</v>
      </c>
      <c r="F19" s="190">
        <f>D19*E19</f>
        <v>40635.052415999999</v>
      </c>
    </row>
    <row r="20" spans="1:7" ht="32.25" customHeight="1" x14ac:dyDescent="0.2">
      <c r="A20" s="185">
        <v>2</v>
      </c>
      <c r="B20" s="186" t="s">
        <v>189</v>
      </c>
      <c r="C20" s="187" t="s">
        <v>175</v>
      </c>
      <c r="D20" s="188">
        <v>2</v>
      </c>
      <c r="E20" s="189">
        <f>'M0 (2)'!H97</f>
        <v>21043.515528000004</v>
      </c>
      <c r="F20" s="190">
        <f>D20*E20</f>
        <v>42087.031056000007</v>
      </c>
    </row>
    <row r="21" spans="1:7" ht="43.5" customHeight="1" x14ac:dyDescent="0.25">
      <c r="A21" s="191"/>
      <c r="B21" s="192"/>
      <c r="C21" s="191"/>
      <c r="D21" s="193"/>
      <c r="E21" s="194" t="s">
        <v>146</v>
      </c>
      <c r="F21" s="176">
        <f>SUM(F19:F20)</f>
        <v>82722.083471999998</v>
      </c>
    </row>
    <row r="22" spans="1:7" ht="20.100000000000001" customHeight="1" x14ac:dyDescent="0.25">
      <c r="A22" s="164"/>
      <c r="B22" s="195" t="s">
        <v>147</v>
      </c>
      <c r="C22" s="191"/>
      <c r="D22" s="191"/>
      <c r="E22" s="196"/>
      <c r="F22" s="197"/>
    </row>
    <row r="23" spans="1:7" s="161" customFormat="1" ht="20.100000000000001" customHeight="1" x14ac:dyDescent="0.3">
      <c r="A23" s="198"/>
      <c r="B23" s="219" t="s">
        <v>193</v>
      </c>
      <c r="C23" s="219"/>
      <c r="D23" s="219"/>
      <c r="E23" s="219"/>
      <c r="F23" s="219"/>
    </row>
    <row r="24" spans="1:7" s="161" customFormat="1" ht="20.100000000000001" customHeight="1" x14ac:dyDescent="0.3">
      <c r="A24" s="198"/>
      <c r="B24" s="219" t="s">
        <v>185</v>
      </c>
      <c r="C24" s="219"/>
      <c r="D24" s="219"/>
      <c r="E24" s="219"/>
      <c r="F24" s="219"/>
    </row>
    <row r="25" spans="1:7" s="161" customFormat="1" ht="20.100000000000001" customHeight="1" x14ac:dyDescent="0.3">
      <c r="A25" s="198"/>
      <c r="B25" s="219" t="s">
        <v>148</v>
      </c>
      <c r="C25" s="219"/>
      <c r="D25" s="219"/>
      <c r="E25" s="219"/>
      <c r="F25" s="219"/>
    </row>
    <row r="26" spans="1:7" s="161" customFormat="1" ht="18" x14ac:dyDescent="0.3">
      <c r="A26" s="198"/>
      <c r="B26" s="219" t="s">
        <v>174</v>
      </c>
      <c r="C26" s="219"/>
      <c r="D26" s="219"/>
      <c r="E26" s="219"/>
      <c r="F26" s="219"/>
    </row>
    <row r="27" spans="1:7" s="161" customFormat="1" ht="18" x14ac:dyDescent="0.3">
      <c r="A27" s="198"/>
      <c r="B27" s="219" t="s">
        <v>149</v>
      </c>
      <c r="C27" s="219"/>
      <c r="D27" s="219"/>
      <c r="E27" s="219"/>
      <c r="F27" s="219"/>
    </row>
    <row r="28" spans="1:7" s="161" customFormat="1" ht="18.75" x14ac:dyDescent="0.3">
      <c r="A28" s="199"/>
      <c r="B28" s="200"/>
      <c r="C28" s="201"/>
      <c r="D28" s="201"/>
      <c r="E28" s="202"/>
      <c r="F28" s="203"/>
    </row>
    <row r="29" spans="1:7" s="161" customFormat="1" ht="17.25" customHeight="1" x14ac:dyDescent="0.3">
      <c r="A29" s="184"/>
      <c r="B29" s="184"/>
      <c r="C29" s="204"/>
      <c r="D29" s="204"/>
      <c r="E29" s="205"/>
      <c r="F29" s="206"/>
    </row>
    <row r="30" spans="1:7" s="161" customFormat="1" ht="17.25" customHeight="1" x14ac:dyDescent="0.3">
      <c r="A30" s="217" t="s">
        <v>150</v>
      </c>
      <c r="B30" s="217"/>
      <c r="C30" s="217"/>
      <c r="D30" s="217"/>
      <c r="E30" s="217"/>
      <c r="F30" s="217"/>
    </row>
    <row r="31" spans="1:7" s="161" customFormat="1" ht="17.25" customHeight="1" x14ac:dyDescent="0.3">
      <c r="A31" s="218"/>
      <c r="B31" s="218"/>
      <c r="C31" s="218"/>
      <c r="D31" s="218"/>
      <c r="E31" s="218"/>
      <c r="F31" s="218"/>
    </row>
    <row r="32" spans="1:7" s="161" customFormat="1" ht="17.25" customHeight="1" x14ac:dyDescent="0.3">
      <c r="A32" s="218"/>
      <c r="B32" s="218"/>
      <c r="C32" s="218"/>
      <c r="D32" s="218"/>
      <c r="E32" s="218"/>
      <c r="F32" s="218"/>
      <c r="G32" s="162"/>
    </row>
    <row r="33" spans="1:7" s="161" customFormat="1" ht="17.25" customHeight="1" x14ac:dyDescent="0.3">
      <c r="A33" s="218"/>
      <c r="B33" s="218"/>
      <c r="C33" s="218"/>
      <c r="D33" s="218"/>
      <c r="E33" s="218"/>
      <c r="F33" s="218"/>
      <c r="G33" s="158"/>
    </row>
    <row r="34" spans="1:7" s="161" customFormat="1" ht="17.25" x14ac:dyDescent="0.3">
      <c r="A34" s="218"/>
      <c r="B34" s="218"/>
      <c r="C34" s="218"/>
      <c r="D34" s="218"/>
      <c r="E34" s="218"/>
      <c r="F34" s="218"/>
    </row>
    <row r="35" spans="1:7" s="161" customFormat="1" ht="17.25" x14ac:dyDescent="0.3">
      <c r="A35" s="218"/>
      <c r="B35" s="218"/>
      <c r="C35" s="218"/>
      <c r="D35" s="218"/>
      <c r="E35" s="218"/>
      <c r="F35" s="218"/>
    </row>
    <row r="36" spans="1:7" s="161" customFormat="1" ht="18" x14ac:dyDescent="0.3">
      <c r="A36" s="216" t="s">
        <v>151</v>
      </c>
      <c r="B36" s="216"/>
      <c r="C36" s="216"/>
      <c r="D36" s="216"/>
      <c r="E36" s="216"/>
      <c r="F36" s="216"/>
    </row>
    <row r="37" spans="1:7" s="161" customFormat="1" ht="18.75" x14ac:dyDescent="0.3">
      <c r="A37" s="217" t="s">
        <v>152</v>
      </c>
      <c r="B37" s="217"/>
      <c r="C37" s="217"/>
      <c r="D37" s="217"/>
      <c r="E37" s="217"/>
      <c r="F37" s="217"/>
    </row>
    <row r="38" spans="1:7" s="161" customFormat="1" ht="18.75" x14ac:dyDescent="0.3">
      <c r="A38" s="218"/>
      <c r="B38" s="218"/>
      <c r="C38" s="218"/>
      <c r="D38" s="218"/>
      <c r="E38" s="218"/>
      <c r="F38" s="218"/>
    </row>
    <row r="39" spans="1:7" s="161" customFormat="1" ht="17.25" x14ac:dyDescent="0.3"/>
    <row r="40" spans="1:7" s="161" customFormat="1" ht="17.25" x14ac:dyDescent="0.3"/>
    <row r="41" spans="1:7" s="161" customFormat="1" ht="17.25" x14ac:dyDescent="0.3"/>
    <row r="42" spans="1:7" s="161" customFormat="1" ht="17.25" x14ac:dyDescent="0.3"/>
    <row r="43" spans="1:7" s="160" customFormat="1" ht="17.25" x14ac:dyDescent="0.3">
      <c r="A43" s="161"/>
      <c r="B43" s="161"/>
      <c r="C43" s="161"/>
      <c r="D43" s="161"/>
      <c r="E43" s="161"/>
      <c r="F43" s="161"/>
    </row>
    <row r="44" spans="1:7" s="160" customFormat="1" ht="17.25" x14ac:dyDescent="0.3">
      <c r="A44" s="161"/>
      <c r="B44" s="161"/>
      <c r="C44" s="161"/>
      <c r="D44" s="161"/>
      <c r="E44" s="161"/>
      <c r="F44" s="161"/>
    </row>
    <row r="45" spans="1:7" s="160" customFormat="1" ht="17.25" x14ac:dyDescent="0.3">
      <c r="A45" s="161"/>
      <c r="B45" s="161"/>
      <c r="C45" s="161"/>
      <c r="D45" s="161"/>
      <c r="E45" s="161"/>
      <c r="F45" s="161"/>
    </row>
    <row r="46" spans="1:7" s="160" customFormat="1" ht="18.75" x14ac:dyDescent="0.3">
      <c r="A46" s="163"/>
      <c r="B46" s="163"/>
      <c r="C46" s="163"/>
      <c r="D46" s="163"/>
      <c r="E46" s="163"/>
      <c r="F46" s="163"/>
    </row>
    <row r="47" spans="1:7" s="160" customFormat="1" ht="18.75" x14ac:dyDescent="0.3">
      <c r="A47" s="163"/>
      <c r="B47" s="163"/>
      <c r="C47" s="163"/>
      <c r="D47" s="163"/>
      <c r="E47" s="163"/>
      <c r="F47" s="163"/>
    </row>
    <row r="48" spans="1:7" s="160" customFormat="1" ht="18.75" x14ac:dyDescent="0.3">
      <c r="A48" s="163"/>
      <c r="B48" s="163"/>
      <c r="C48" s="163"/>
      <c r="D48" s="163"/>
      <c r="E48" s="163"/>
      <c r="F48" s="163"/>
    </row>
    <row r="49" spans="1:6" s="160" customFormat="1" ht="18.75" x14ac:dyDescent="0.3">
      <c r="A49" s="163"/>
      <c r="B49" s="163"/>
      <c r="C49" s="163"/>
      <c r="D49" s="163"/>
      <c r="E49" s="163"/>
      <c r="F49" s="163"/>
    </row>
    <row r="50" spans="1:6" s="160" customFormat="1" ht="18.75" x14ac:dyDescent="0.3">
      <c r="A50" s="163"/>
      <c r="B50" s="163"/>
      <c r="C50" s="163"/>
      <c r="D50" s="163"/>
      <c r="E50" s="163"/>
      <c r="F50" s="163"/>
    </row>
    <row r="51" spans="1:6" s="160" customFormat="1" ht="18.75" x14ac:dyDescent="0.3">
      <c r="A51" s="163"/>
      <c r="B51" s="163"/>
      <c r="C51" s="163"/>
      <c r="D51" s="163"/>
      <c r="E51" s="163"/>
      <c r="F51" s="163"/>
    </row>
    <row r="52" spans="1:6" s="160" customFormat="1" ht="18.75" x14ac:dyDescent="0.3">
      <c r="A52" s="163"/>
      <c r="B52" s="163"/>
      <c r="C52" s="163"/>
      <c r="D52" s="163"/>
      <c r="E52" s="163"/>
      <c r="F52" s="163"/>
    </row>
    <row r="53" spans="1:6" s="160" customFormat="1" ht="18.75" x14ac:dyDescent="0.3">
      <c r="A53" s="163"/>
      <c r="B53" s="163"/>
      <c r="C53" s="163"/>
      <c r="D53" s="163"/>
      <c r="E53" s="163"/>
      <c r="F53" s="163"/>
    </row>
    <row r="54" spans="1:6" s="160" customFormat="1" ht="18.75" x14ac:dyDescent="0.3">
      <c r="A54" s="163"/>
      <c r="B54" s="163"/>
      <c r="C54" s="163"/>
      <c r="D54" s="163"/>
      <c r="E54" s="163"/>
      <c r="F54" s="163"/>
    </row>
    <row r="55" spans="1:6" s="160" customFormat="1" ht="18.75" x14ac:dyDescent="0.3">
      <c r="A55" s="163"/>
      <c r="B55" s="163"/>
      <c r="C55" s="163"/>
      <c r="D55" s="163"/>
      <c r="E55" s="163"/>
      <c r="F55" s="163"/>
    </row>
    <row r="56" spans="1:6" s="160" customFormat="1" ht="18.75" x14ac:dyDescent="0.3">
      <c r="A56" s="163"/>
      <c r="B56" s="163"/>
      <c r="C56" s="163"/>
      <c r="D56" s="163"/>
      <c r="E56" s="163"/>
      <c r="F56" s="163"/>
    </row>
    <row r="57" spans="1:6" s="160" customFormat="1" ht="18.75" x14ac:dyDescent="0.3">
      <c r="A57" s="163"/>
      <c r="B57" s="163"/>
      <c r="C57" s="163"/>
      <c r="D57" s="163"/>
      <c r="E57" s="163"/>
      <c r="F57" s="163"/>
    </row>
    <row r="58" spans="1:6" s="160" customFormat="1" ht="18.75" x14ac:dyDescent="0.3">
      <c r="A58" s="163"/>
      <c r="B58" s="163"/>
      <c r="C58" s="163"/>
      <c r="D58" s="163"/>
      <c r="E58" s="163"/>
      <c r="F58" s="163"/>
    </row>
    <row r="59" spans="1:6" s="160" customFormat="1" ht="18.75" x14ac:dyDescent="0.3">
      <c r="A59" s="163"/>
      <c r="B59" s="163"/>
      <c r="C59" s="163"/>
      <c r="D59" s="163"/>
      <c r="E59" s="163"/>
      <c r="F59" s="163"/>
    </row>
    <row r="60" spans="1:6" s="160" customFormat="1" ht="18.75" x14ac:dyDescent="0.3">
      <c r="A60" s="163"/>
      <c r="B60" s="163"/>
      <c r="C60" s="163"/>
      <c r="D60" s="163"/>
      <c r="E60" s="163"/>
      <c r="F60" s="163"/>
    </row>
    <row r="61" spans="1:6" s="160" customFormat="1" ht="18.75" x14ac:dyDescent="0.3">
      <c r="A61" s="163"/>
      <c r="B61" s="163"/>
      <c r="C61" s="163"/>
      <c r="D61" s="163"/>
      <c r="E61" s="163"/>
      <c r="F61" s="163"/>
    </row>
    <row r="62" spans="1:6" s="160" customFormat="1" ht="18.75" x14ac:dyDescent="0.3">
      <c r="A62" s="163"/>
      <c r="B62" s="163"/>
      <c r="C62" s="163"/>
      <c r="D62" s="163"/>
      <c r="E62" s="163"/>
      <c r="F62" s="163"/>
    </row>
    <row r="63" spans="1:6" s="160" customFormat="1" ht="18.75" x14ac:dyDescent="0.3">
      <c r="A63" s="163"/>
      <c r="B63" s="163"/>
      <c r="C63" s="163"/>
      <c r="D63" s="163"/>
      <c r="E63" s="163"/>
      <c r="F63" s="163"/>
    </row>
    <row r="64" spans="1:6" s="160" customFormat="1" ht="18.75" x14ac:dyDescent="0.3">
      <c r="A64" s="163"/>
      <c r="B64" s="163"/>
      <c r="C64" s="163"/>
      <c r="D64" s="163"/>
      <c r="E64" s="163"/>
      <c r="F64" s="163"/>
    </row>
    <row r="65" spans="1:6" s="160" customFormat="1" ht="18.75" x14ac:dyDescent="0.3">
      <c r="A65" s="163"/>
      <c r="B65" s="163"/>
      <c r="C65" s="163"/>
      <c r="D65" s="163"/>
      <c r="E65" s="163"/>
      <c r="F65" s="163"/>
    </row>
    <row r="66" spans="1:6" s="160" customFormat="1" ht="18.75" x14ac:dyDescent="0.3">
      <c r="A66" s="163"/>
      <c r="B66" s="163"/>
      <c r="C66" s="163"/>
      <c r="D66" s="163"/>
      <c r="E66" s="163"/>
      <c r="F66" s="163"/>
    </row>
    <row r="67" spans="1:6" s="160" customFormat="1" ht="18.75" x14ac:dyDescent="0.3">
      <c r="A67" s="163"/>
      <c r="B67" s="163"/>
      <c r="C67" s="163"/>
      <c r="D67" s="163"/>
      <c r="E67" s="163"/>
      <c r="F67" s="163"/>
    </row>
    <row r="68" spans="1:6" s="160" customFormat="1" ht="18.75" x14ac:dyDescent="0.3">
      <c r="A68" s="163"/>
      <c r="B68" s="163"/>
      <c r="C68" s="163"/>
      <c r="D68" s="163"/>
      <c r="E68" s="163"/>
      <c r="F68" s="163"/>
    </row>
    <row r="69" spans="1:6" s="160" customFormat="1" ht="18.75" x14ac:dyDescent="0.3">
      <c r="A69" s="163"/>
      <c r="B69" s="163"/>
      <c r="C69" s="163"/>
      <c r="D69" s="163"/>
      <c r="E69" s="163"/>
      <c r="F69" s="163"/>
    </row>
    <row r="70" spans="1:6" s="160" customFormat="1" ht="18.75" x14ac:dyDescent="0.3">
      <c r="A70" s="163"/>
      <c r="B70" s="163"/>
      <c r="C70" s="163"/>
      <c r="D70" s="163"/>
      <c r="E70" s="163"/>
      <c r="F70" s="163"/>
    </row>
    <row r="71" spans="1:6" ht="18.75" x14ac:dyDescent="0.3">
      <c r="A71" s="163"/>
      <c r="B71" s="163"/>
      <c r="C71" s="163"/>
      <c r="D71" s="163"/>
      <c r="E71" s="163"/>
      <c r="F71" s="163"/>
    </row>
    <row r="72" spans="1:6" ht="18.75" x14ac:dyDescent="0.3">
      <c r="A72" s="163"/>
      <c r="B72" s="163"/>
      <c r="C72" s="163"/>
      <c r="D72" s="163"/>
      <c r="E72" s="163"/>
      <c r="F72" s="163"/>
    </row>
    <row r="73" spans="1:6" ht="18" x14ac:dyDescent="0.25">
      <c r="A73" s="164"/>
      <c r="B73" s="164"/>
      <c r="C73" s="164"/>
      <c r="D73" s="164"/>
      <c r="E73" s="164"/>
      <c r="F73" s="164"/>
    </row>
    <row r="74" spans="1:6" ht="18" x14ac:dyDescent="0.25">
      <c r="A74" s="164"/>
      <c r="B74" s="164"/>
      <c r="C74" s="164"/>
      <c r="D74" s="164"/>
      <c r="E74" s="164"/>
      <c r="F74" s="164"/>
    </row>
    <row r="75" spans="1:6" ht="18" x14ac:dyDescent="0.25">
      <c r="A75" s="164"/>
      <c r="B75" s="164"/>
      <c r="C75" s="164"/>
      <c r="D75" s="164"/>
      <c r="E75" s="164"/>
      <c r="F75" s="164"/>
    </row>
    <row r="76" spans="1:6" ht="18" x14ac:dyDescent="0.25">
      <c r="A76" s="164"/>
      <c r="B76" s="164"/>
      <c r="C76" s="164"/>
      <c r="D76" s="164"/>
      <c r="E76" s="164"/>
      <c r="F76" s="164"/>
    </row>
    <row r="77" spans="1:6" ht="18" x14ac:dyDescent="0.25">
      <c r="A77" s="164"/>
      <c r="B77" s="164"/>
      <c r="C77" s="164"/>
      <c r="D77" s="164"/>
      <c r="E77" s="164"/>
      <c r="F77" s="164"/>
    </row>
    <row r="78" spans="1:6" ht="18" x14ac:dyDescent="0.25">
      <c r="A78" s="164"/>
      <c r="B78" s="164"/>
      <c r="C78" s="164"/>
      <c r="D78" s="164"/>
      <c r="E78" s="164"/>
      <c r="F78" s="164"/>
    </row>
  </sheetData>
  <mergeCells count="24">
    <mergeCell ref="B23:F23"/>
    <mergeCell ref="A15:F15"/>
    <mergeCell ref="A16:F16"/>
    <mergeCell ref="A36:F36"/>
    <mergeCell ref="A37:F37"/>
    <mergeCell ref="A38:F38"/>
    <mergeCell ref="B24:F24"/>
    <mergeCell ref="B25:F25"/>
    <mergeCell ref="B26:F26"/>
    <mergeCell ref="B27:F27"/>
    <mergeCell ref="A30:F30"/>
    <mergeCell ref="A31:F35"/>
    <mergeCell ref="D1:F1"/>
    <mergeCell ref="D2:F2"/>
    <mergeCell ref="D3:F3"/>
    <mergeCell ref="D4:F4"/>
    <mergeCell ref="D5:F5"/>
    <mergeCell ref="B8:F8"/>
    <mergeCell ref="A10:B10"/>
    <mergeCell ref="C10:F10"/>
    <mergeCell ref="A11:B11"/>
    <mergeCell ref="C11:F11"/>
    <mergeCell ref="A12:B12"/>
    <mergeCell ref="E14:F14"/>
  </mergeCells>
  <hyperlinks>
    <hyperlink ref="D4" r:id="rId1"/>
    <hyperlink ref="D5" r:id="rId2"/>
  </hyperlinks>
  <printOptions horizontalCentered="1"/>
  <pageMargins left="0.51181102362204722" right="0.11811023622047245" top="0.74803149606299213" bottom="0.55118110236220474" header="0.31496062992125984" footer="0.31496062992125984"/>
  <pageSetup scale="45" orientation="portrait" r:id="rId3"/>
  <drawing r:id="rId4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T144"/>
  <sheetViews>
    <sheetView view="pageBreakPreview" topLeftCell="A99" zoomScale="87" zoomScaleNormal="70" zoomScaleSheetLayoutView="87" workbookViewId="0">
      <selection activeCell="G120" sqref="G120"/>
    </sheetView>
  </sheetViews>
  <sheetFormatPr baseColWidth="10" defaultRowHeight="15" x14ac:dyDescent="0.25"/>
  <cols>
    <col min="3" max="3" width="11.42578125" customWidth="1"/>
    <col min="4" max="4" width="14.5703125" customWidth="1"/>
    <col min="5" max="6" width="11.42578125" customWidth="1"/>
    <col min="7" max="7" width="13.42578125" customWidth="1"/>
    <col min="8" max="8" width="15.42578125" customWidth="1"/>
    <col min="10" max="10" width="13" customWidth="1"/>
    <col min="11" max="12" width="13.42578125" customWidth="1"/>
    <col min="13" max="13" width="12.42578125" customWidth="1"/>
  </cols>
  <sheetData>
    <row r="1" spans="1:72" ht="18.75" x14ac:dyDescent="0.3">
      <c r="A1" s="223" t="s">
        <v>1</v>
      </c>
      <c r="B1" s="223"/>
      <c r="C1" s="223"/>
      <c r="D1" s="223"/>
      <c r="E1" s="223"/>
      <c r="F1" s="223"/>
      <c r="G1" s="223"/>
      <c r="H1" s="223"/>
      <c r="I1" s="38"/>
      <c r="J1" s="16"/>
      <c r="K1" s="16"/>
      <c r="L1" s="16"/>
      <c r="M1" s="16"/>
      <c r="N1" s="16"/>
      <c r="O1" s="16"/>
      <c r="P1" s="16"/>
      <c r="Q1" s="16"/>
      <c r="R1" s="16"/>
      <c r="S1" s="16"/>
      <c r="T1" s="16"/>
      <c r="U1" s="16"/>
      <c r="V1" s="16"/>
      <c r="W1" s="16"/>
      <c r="X1" s="16"/>
      <c r="Y1" s="1"/>
      <c r="Z1" s="120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</row>
    <row r="2" spans="1:72" ht="18.75" x14ac:dyDescent="0.3">
      <c r="A2" s="223" t="s">
        <v>2</v>
      </c>
      <c r="B2" s="223"/>
      <c r="C2" s="223"/>
      <c r="D2" s="223"/>
      <c r="E2" s="223"/>
      <c r="F2" s="223"/>
      <c r="G2" s="223"/>
      <c r="H2" s="223"/>
      <c r="I2" s="38"/>
      <c r="J2" s="16"/>
      <c r="K2" s="38"/>
      <c r="L2" s="38"/>
      <c r="M2" s="16"/>
      <c r="N2" s="16"/>
      <c r="O2" s="16"/>
      <c r="P2" s="16"/>
      <c r="Q2" s="16"/>
      <c r="R2" s="16"/>
      <c r="S2" s="16"/>
      <c r="T2" s="16"/>
      <c r="U2" s="16"/>
      <c r="V2" s="16"/>
      <c r="W2" s="16"/>
      <c r="X2" s="16"/>
      <c r="Y2" s="1"/>
      <c r="Z2" s="120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</row>
    <row r="3" spans="1:72" ht="15.75" x14ac:dyDescent="0.25">
      <c r="A3" s="2" t="s">
        <v>3</v>
      </c>
      <c r="B3" s="16"/>
      <c r="C3" s="2"/>
      <c r="D3" s="16"/>
      <c r="E3" s="16"/>
      <c r="F3" s="16"/>
      <c r="G3" s="16"/>
      <c r="H3" s="16"/>
      <c r="I3" s="16"/>
      <c r="J3" s="7"/>
      <c r="K3" s="38"/>
      <c r="L3" s="38"/>
      <c r="M3" s="16"/>
      <c r="N3" s="16"/>
      <c r="O3" s="16"/>
      <c r="P3" s="16"/>
      <c r="Q3" s="16"/>
      <c r="R3" s="16"/>
      <c r="S3" s="16"/>
      <c r="T3" s="16"/>
      <c r="U3" s="16"/>
      <c r="V3" s="16"/>
      <c r="W3" s="16"/>
      <c r="X3" s="16"/>
      <c r="Y3" s="1"/>
      <c r="Z3" s="120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</row>
    <row r="4" spans="1:72" ht="15.75" x14ac:dyDescent="0.25">
      <c r="A4" s="2" t="s">
        <v>4</v>
      </c>
      <c r="B4" s="16"/>
      <c r="C4" s="10"/>
      <c r="D4" s="16"/>
      <c r="E4" s="16"/>
      <c r="F4" s="16"/>
      <c r="G4" s="16"/>
      <c r="H4" s="16"/>
      <c r="I4" s="16"/>
      <c r="J4" s="7"/>
      <c r="K4" s="38"/>
      <c r="L4" s="38"/>
      <c r="M4" s="16"/>
      <c r="N4" s="16"/>
      <c r="O4" s="16"/>
      <c r="P4" s="16"/>
      <c r="Q4" s="16"/>
      <c r="R4" s="16"/>
      <c r="S4" s="16"/>
      <c r="T4" s="16"/>
      <c r="U4" s="16"/>
      <c r="V4" s="16"/>
      <c r="W4" s="16"/>
      <c r="X4" s="16"/>
      <c r="Y4" s="1"/>
      <c r="Z4" s="120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/>
      <c r="BP4" s="1"/>
      <c r="BQ4" s="1"/>
      <c r="BR4" s="1"/>
      <c r="BS4" s="1"/>
      <c r="BT4" s="1"/>
    </row>
    <row r="5" spans="1:72" ht="15.75" x14ac:dyDescent="0.25">
      <c r="A5" s="2" t="s">
        <v>5</v>
      </c>
      <c r="B5" s="224"/>
      <c r="C5" s="224"/>
      <c r="D5" s="224"/>
      <c r="E5" s="224"/>
      <c r="F5" s="224"/>
      <c r="G5" s="224"/>
      <c r="H5" s="224"/>
      <c r="I5" s="224"/>
      <c r="J5" s="224"/>
      <c r="K5" s="38"/>
      <c r="L5" s="38"/>
      <c r="M5" s="16"/>
      <c r="N5" s="16"/>
      <c r="O5" s="16"/>
      <c r="P5" s="16"/>
      <c r="Q5" s="16"/>
      <c r="R5" s="16"/>
      <c r="S5" s="16"/>
      <c r="T5" s="16"/>
      <c r="U5" s="16"/>
      <c r="V5" s="16"/>
      <c r="W5" s="16"/>
      <c r="X5" s="16"/>
      <c r="Y5" s="1"/>
      <c r="Z5" s="120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  <c r="BB5" s="1"/>
      <c r="BC5" s="1"/>
      <c r="BD5" s="1"/>
      <c r="BE5" s="1"/>
      <c r="BF5" s="1"/>
      <c r="BG5" s="1"/>
      <c r="BH5" s="1"/>
      <c r="BI5" s="1"/>
      <c r="BJ5" s="1"/>
      <c r="BK5" s="1"/>
      <c r="BL5" s="1"/>
      <c r="BM5" s="1"/>
      <c r="BN5" s="1"/>
      <c r="BO5" s="1"/>
      <c r="BP5" s="1"/>
      <c r="BQ5" s="1"/>
      <c r="BR5" s="1"/>
      <c r="BS5" s="1"/>
      <c r="BT5" s="1"/>
    </row>
    <row r="6" spans="1:72" ht="15.75" x14ac:dyDescent="0.25">
      <c r="A6" s="126" t="s">
        <v>132</v>
      </c>
      <c r="B6" s="126"/>
      <c r="C6" s="16"/>
      <c r="D6" s="16"/>
      <c r="E6" s="16"/>
      <c r="F6" s="16"/>
      <c r="G6" s="16"/>
      <c r="H6" s="16"/>
      <c r="I6" s="16"/>
      <c r="J6" s="7"/>
      <c r="K6" s="38"/>
      <c r="L6" s="38"/>
      <c r="M6" s="16"/>
      <c r="N6" s="16"/>
      <c r="O6" s="16"/>
      <c r="P6" s="16"/>
      <c r="Q6" s="16"/>
      <c r="R6" s="16"/>
      <c r="S6" s="16"/>
      <c r="T6" s="16"/>
      <c r="U6" s="16"/>
      <c r="V6" s="16"/>
      <c r="W6" s="16"/>
      <c r="X6" s="16"/>
      <c r="Y6" s="1"/>
      <c r="Z6" s="120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/>
      <c r="BT6" s="1"/>
    </row>
    <row r="7" spans="1:72" ht="15.75" x14ac:dyDescent="0.25">
      <c r="A7" s="3" t="s">
        <v>6</v>
      </c>
      <c r="B7" s="1"/>
      <c r="C7" s="16"/>
      <c r="D7" s="16"/>
      <c r="E7" s="16"/>
      <c r="F7" s="16"/>
      <c r="G7" s="16"/>
      <c r="H7" s="16"/>
      <c r="I7" s="16"/>
      <c r="J7" s="16"/>
      <c r="K7" s="16"/>
      <c r="L7" s="16"/>
      <c r="M7" s="16"/>
      <c r="N7" s="16"/>
      <c r="O7" s="16"/>
      <c r="P7" s="16"/>
      <c r="Q7" s="16"/>
      <c r="R7" s="16"/>
      <c r="S7" s="16"/>
      <c r="T7" s="16"/>
      <c r="U7" s="16"/>
      <c r="V7" s="16"/>
      <c r="W7" s="16"/>
      <c r="X7" s="16"/>
      <c r="Y7" s="1"/>
      <c r="Z7" s="120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  <c r="AY7" s="1"/>
      <c r="AZ7" s="1"/>
      <c r="BA7" s="1"/>
      <c r="BB7" s="1"/>
      <c r="BC7" s="1"/>
      <c r="BD7" s="1"/>
      <c r="BE7" s="1"/>
      <c r="BF7" s="1"/>
      <c r="BG7" s="1"/>
      <c r="BH7" s="1"/>
      <c r="BI7" s="1"/>
      <c r="BJ7" s="1"/>
      <c r="BK7" s="1"/>
      <c r="BL7" s="1"/>
      <c r="BM7" s="1"/>
      <c r="BN7" s="1"/>
      <c r="BO7" s="1"/>
      <c r="BP7" s="1"/>
      <c r="BQ7" s="1"/>
      <c r="BR7" s="1"/>
      <c r="BS7" s="1"/>
      <c r="BT7" s="1"/>
    </row>
    <row r="8" spans="1:72" ht="15.75" x14ac:dyDescent="0.25">
      <c r="A8" s="225" t="s">
        <v>7</v>
      </c>
      <c r="B8" s="225"/>
      <c r="C8" s="225"/>
      <c r="D8" s="225"/>
      <c r="E8" s="122" t="s">
        <v>8</v>
      </c>
      <c r="F8" s="122" t="s">
        <v>9</v>
      </c>
      <c r="G8" s="122" t="s">
        <v>10</v>
      </c>
      <c r="H8" s="122" t="s">
        <v>0</v>
      </c>
      <c r="I8" s="22"/>
      <c r="J8" s="263" t="s">
        <v>137</v>
      </c>
      <c r="K8" s="263"/>
      <c r="L8" s="263"/>
      <c r="M8" s="263"/>
      <c r="N8" s="16"/>
      <c r="O8" s="16"/>
      <c r="P8" s="16"/>
      <c r="Q8" s="16"/>
      <c r="R8" s="16"/>
      <c r="S8" s="16"/>
      <c r="T8" s="16"/>
      <c r="U8" s="16"/>
      <c r="V8" s="16"/>
      <c r="W8" s="16"/>
      <c r="X8" s="16"/>
      <c r="Y8" s="1"/>
      <c r="Z8" s="120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  <c r="AY8" s="1"/>
      <c r="AZ8" s="1"/>
      <c r="BA8" s="1"/>
      <c r="BB8" s="1"/>
      <c r="BC8" s="1"/>
      <c r="BD8" s="1"/>
      <c r="BE8" s="1"/>
      <c r="BF8" s="1"/>
      <c r="BG8" s="1"/>
      <c r="BH8" s="1"/>
      <c r="BI8" s="1"/>
      <c r="BJ8" s="1"/>
      <c r="BK8" s="1"/>
      <c r="BL8" s="1"/>
      <c r="BM8" s="1"/>
      <c r="BN8" s="1"/>
      <c r="BO8" s="1"/>
      <c r="BP8" s="1"/>
      <c r="BQ8" s="1"/>
      <c r="BR8" s="1"/>
      <c r="BS8" s="1"/>
      <c r="BT8" s="1"/>
    </row>
    <row r="9" spans="1:72" ht="15.75" x14ac:dyDescent="0.25">
      <c r="A9" s="226"/>
      <c r="B9" s="227"/>
      <c r="C9" s="227"/>
      <c r="D9" s="228"/>
      <c r="E9" s="4" t="s">
        <v>11</v>
      </c>
      <c r="F9" s="128"/>
      <c r="G9" s="129"/>
      <c r="H9" s="148">
        <f>G9*F9</f>
        <v>0</v>
      </c>
      <c r="I9" s="38"/>
      <c r="J9" s="16"/>
      <c r="K9" s="139"/>
      <c r="L9" s="139"/>
      <c r="M9" s="139"/>
      <c r="N9" s="139"/>
      <c r="O9" s="16"/>
      <c r="P9" s="16"/>
      <c r="Q9" s="16"/>
      <c r="R9" s="16"/>
      <c r="S9" s="16"/>
      <c r="T9" s="16"/>
      <c r="U9" s="16"/>
      <c r="V9" s="16"/>
      <c r="W9" s="16"/>
      <c r="X9" s="16"/>
      <c r="Y9" s="1"/>
      <c r="Z9" s="120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  <c r="AX9" s="1"/>
      <c r="AY9" s="1"/>
      <c r="AZ9" s="1"/>
      <c r="BA9" s="1"/>
      <c r="BB9" s="1"/>
      <c r="BC9" s="1"/>
      <c r="BD9" s="1"/>
      <c r="BE9" s="1"/>
      <c r="BF9" s="1"/>
      <c r="BG9" s="1"/>
      <c r="BH9" s="1"/>
      <c r="BI9" s="1"/>
      <c r="BJ9" s="1"/>
      <c r="BK9" s="1"/>
      <c r="BL9" s="1"/>
      <c r="BM9" s="1"/>
      <c r="BN9" s="1"/>
      <c r="BO9" s="1"/>
      <c r="BP9" s="1"/>
      <c r="BQ9" s="1"/>
      <c r="BR9" s="1"/>
      <c r="BS9" s="1"/>
      <c r="BT9" s="1"/>
    </row>
    <row r="10" spans="1:72" ht="15.75" x14ac:dyDescent="0.25">
      <c r="A10" s="220"/>
      <c r="B10" s="221"/>
      <c r="C10" s="221"/>
      <c r="D10" s="222"/>
      <c r="E10" s="4" t="s">
        <v>11</v>
      </c>
      <c r="F10" s="128"/>
      <c r="G10" s="129"/>
      <c r="H10" s="148">
        <f t="shared" ref="H10:H19" si="0">G10*F10</f>
        <v>0</v>
      </c>
      <c r="I10" s="38"/>
      <c r="J10" s="16"/>
      <c r="K10" s="139"/>
      <c r="L10" s="139"/>
      <c r="M10" s="139"/>
      <c r="N10" s="139"/>
      <c r="O10" s="16"/>
      <c r="P10" s="16"/>
      <c r="Q10" s="16"/>
      <c r="R10" s="16"/>
      <c r="S10" s="16"/>
      <c r="T10" s="16"/>
      <c r="U10" s="16"/>
      <c r="V10" s="16"/>
      <c r="W10" s="16"/>
      <c r="X10" s="16"/>
      <c r="Y10" s="1"/>
      <c r="Z10" s="120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  <c r="AY10" s="1"/>
      <c r="AZ10" s="1"/>
      <c r="BA10" s="1"/>
      <c r="BB10" s="1"/>
      <c r="BC10" s="1"/>
      <c r="BD10" s="1"/>
      <c r="BE10" s="1"/>
      <c r="BF10" s="1"/>
      <c r="BG10" s="1"/>
      <c r="BH10" s="1"/>
      <c r="BI10" s="1"/>
      <c r="BJ10" s="1"/>
      <c r="BK10" s="1"/>
      <c r="BL10" s="1"/>
      <c r="BM10" s="1"/>
      <c r="BN10" s="1"/>
      <c r="BO10" s="1"/>
      <c r="BP10" s="1"/>
      <c r="BQ10" s="1"/>
      <c r="BR10" s="1"/>
      <c r="BS10" s="1"/>
      <c r="BT10" s="1"/>
    </row>
    <row r="11" spans="1:72" ht="15.75" x14ac:dyDescent="0.25">
      <c r="A11" s="220"/>
      <c r="B11" s="221"/>
      <c r="C11" s="221"/>
      <c r="D11" s="222"/>
      <c r="E11" s="4" t="s">
        <v>11</v>
      </c>
      <c r="F11" s="128"/>
      <c r="G11" s="129"/>
      <c r="H11" s="148">
        <f t="shared" si="0"/>
        <v>0</v>
      </c>
      <c r="I11" s="38"/>
      <c r="J11" s="16"/>
      <c r="K11" s="139"/>
      <c r="L11" s="139"/>
      <c r="M11" s="139"/>
      <c r="N11" s="139"/>
      <c r="O11" s="16"/>
      <c r="P11" s="16"/>
      <c r="Q11" s="16"/>
      <c r="R11" s="16"/>
      <c r="S11" s="16"/>
      <c r="T11" s="16"/>
      <c r="U11" s="16"/>
      <c r="V11" s="16"/>
      <c r="W11" s="16"/>
      <c r="X11" s="16"/>
      <c r="Y11" s="1"/>
      <c r="Z11" s="120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  <c r="AY11" s="1"/>
      <c r="AZ11" s="1"/>
      <c r="BA11" s="1"/>
      <c r="BB11" s="1"/>
      <c r="BC11" s="1"/>
      <c r="BD11" s="1"/>
      <c r="BE11" s="1"/>
      <c r="BF11" s="1"/>
      <c r="BG11" s="1"/>
      <c r="BH11" s="1"/>
      <c r="BI11" s="1"/>
      <c r="BJ11" s="1"/>
      <c r="BK11" s="1"/>
      <c r="BL11" s="1"/>
      <c r="BM11" s="1"/>
      <c r="BN11" s="1"/>
      <c r="BO11" s="1"/>
      <c r="BP11" s="1"/>
      <c r="BQ11" s="1"/>
      <c r="BR11" s="1"/>
      <c r="BS11" s="1"/>
      <c r="BT11" s="1"/>
    </row>
    <row r="12" spans="1:72" ht="15.75" x14ac:dyDescent="0.25">
      <c r="A12" s="220"/>
      <c r="B12" s="221"/>
      <c r="C12" s="221"/>
      <c r="D12" s="222"/>
      <c r="E12" s="4" t="s">
        <v>11</v>
      </c>
      <c r="F12" s="128"/>
      <c r="G12" s="129"/>
      <c r="H12" s="148">
        <f t="shared" si="0"/>
        <v>0</v>
      </c>
      <c r="I12" s="38"/>
      <c r="J12" s="16"/>
      <c r="K12" s="139"/>
      <c r="L12" s="139"/>
      <c r="M12" s="139"/>
      <c r="N12" s="139"/>
      <c r="O12" s="16"/>
      <c r="P12" s="16"/>
      <c r="Q12" s="16"/>
      <c r="R12" s="16"/>
      <c r="S12" s="16"/>
      <c r="T12" s="16"/>
      <c r="U12" s="16"/>
      <c r="V12" s="16"/>
      <c r="W12" s="16"/>
      <c r="X12" s="16"/>
      <c r="Y12" s="1"/>
      <c r="Z12" s="120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  <c r="AY12" s="1"/>
      <c r="AZ12" s="1"/>
      <c r="BA12" s="1"/>
      <c r="BB12" s="1"/>
      <c r="BC12" s="1"/>
      <c r="BD12" s="1"/>
      <c r="BE12" s="1"/>
      <c r="BF12" s="1"/>
      <c r="BG12" s="1"/>
      <c r="BH12" s="1"/>
      <c r="BI12" s="1"/>
      <c r="BJ12" s="1"/>
      <c r="BK12" s="1"/>
      <c r="BL12" s="1"/>
      <c r="BM12" s="1"/>
      <c r="BN12" s="1"/>
      <c r="BO12" s="1"/>
      <c r="BP12" s="1"/>
      <c r="BQ12" s="1"/>
      <c r="BR12" s="1"/>
      <c r="BS12" s="1"/>
      <c r="BT12" s="1"/>
    </row>
    <row r="13" spans="1:72" ht="15.75" x14ac:dyDescent="0.25">
      <c r="A13" s="220"/>
      <c r="B13" s="221"/>
      <c r="C13" s="221"/>
      <c r="D13" s="222"/>
      <c r="E13" s="4" t="s">
        <v>11</v>
      </c>
      <c r="F13" s="128"/>
      <c r="G13" s="129"/>
      <c r="H13" s="148">
        <f t="shared" si="0"/>
        <v>0</v>
      </c>
      <c r="I13" s="38"/>
      <c r="J13" s="16"/>
      <c r="K13" s="139"/>
      <c r="L13" s="139"/>
      <c r="M13" s="139"/>
      <c r="N13" s="139"/>
      <c r="O13" s="16"/>
      <c r="P13" s="16"/>
      <c r="Q13" s="16"/>
      <c r="R13" s="16"/>
      <c r="S13" s="16"/>
      <c r="T13" s="16"/>
      <c r="U13" s="16"/>
      <c r="V13" s="16"/>
      <c r="W13" s="16"/>
      <c r="X13" s="16"/>
      <c r="Y13" s="1"/>
      <c r="Z13" s="120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  <c r="AY13" s="1"/>
      <c r="AZ13" s="1"/>
      <c r="BA13" s="1"/>
      <c r="BB13" s="1"/>
      <c r="BC13" s="1"/>
      <c r="BD13" s="1"/>
      <c r="BE13" s="1"/>
      <c r="BF13" s="1"/>
      <c r="BG13" s="1"/>
      <c r="BH13" s="1"/>
      <c r="BI13" s="1"/>
      <c r="BJ13" s="1"/>
      <c r="BK13" s="1"/>
      <c r="BL13" s="1"/>
      <c r="BM13" s="1"/>
      <c r="BN13" s="1"/>
      <c r="BO13" s="1"/>
      <c r="BP13" s="1"/>
      <c r="BQ13" s="1"/>
      <c r="BR13" s="1"/>
      <c r="BS13" s="1"/>
      <c r="BT13" s="1"/>
    </row>
    <row r="14" spans="1:72" ht="15.75" x14ac:dyDescent="0.25">
      <c r="A14" s="220"/>
      <c r="B14" s="221"/>
      <c r="C14" s="221"/>
      <c r="D14" s="222"/>
      <c r="E14" s="4" t="s">
        <v>11</v>
      </c>
      <c r="F14" s="128"/>
      <c r="G14" s="129"/>
      <c r="H14" s="148">
        <f t="shared" si="0"/>
        <v>0</v>
      </c>
      <c r="I14" s="38"/>
      <c r="J14" s="16"/>
      <c r="K14" s="139"/>
      <c r="L14" s="139"/>
      <c r="M14" s="139"/>
      <c r="N14" s="139"/>
      <c r="O14" s="16"/>
      <c r="P14" s="16"/>
      <c r="Q14" s="16"/>
      <c r="R14" s="16"/>
      <c r="S14" s="16"/>
      <c r="T14" s="16"/>
      <c r="U14" s="16"/>
      <c r="V14" s="16"/>
      <c r="W14" s="16"/>
      <c r="X14" s="16"/>
      <c r="Y14" s="1"/>
      <c r="Z14" s="120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  <c r="AX14" s="1"/>
      <c r="AY14" s="1"/>
      <c r="AZ14" s="1"/>
      <c r="BA14" s="1"/>
      <c r="BB14" s="1"/>
      <c r="BC14" s="1"/>
      <c r="BD14" s="1"/>
      <c r="BE14" s="1"/>
      <c r="BF14" s="1"/>
      <c r="BG14" s="1"/>
      <c r="BH14" s="1"/>
      <c r="BI14" s="1"/>
      <c r="BJ14" s="1"/>
      <c r="BK14" s="1"/>
      <c r="BL14" s="1"/>
      <c r="BM14" s="1"/>
      <c r="BN14" s="1"/>
      <c r="BO14" s="1"/>
      <c r="BP14" s="1"/>
      <c r="BQ14" s="1"/>
      <c r="BR14" s="1"/>
      <c r="BS14" s="1"/>
      <c r="BT14" s="1"/>
    </row>
    <row r="15" spans="1:72" ht="15.75" x14ac:dyDescent="0.25">
      <c r="A15" s="220"/>
      <c r="B15" s="221"/>
      <c r="C15" s="221"/>
      <c r="D15" s="222"/>
      <c r="E15" s="4" t="s">
        <v>11</v>
      </c>
      <c r="F15" s="128"/>
      <c r="G15" s="129"/>
      <c r="H15" s="148">
        <f t="shared" si="0"/>
        <v>0</v>
      </c>
      <c r="I15" s="38"/>
      <c r="J15" s="16"/>
      <c r="K15" s="139"/>
      <c r="L15" s="139"/>
      <c r="M15" s="139"/>
      <c r="N15" s="139"/>
      <c r="O15" s="16"/>
      <c r="P15" s="16"/>
      <c r="Q15" s="16"/>
      <c r="R15" s="16"/>
      <c r="S15" s="16"/>
      <c r="T15" s="16"/>
      <c r="U15" s="16"/>
      <c r="V15" s="16"/>
      <c r="W15" s="16"/>
      <c r="X15" s="16"/>
      <c r="Y15" s="1"/>
      <c r="Z15" s="120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  <c r="AX15" s="1"/>
      <c r="AY15" s="1"/>
      <c r="AZ15" s="1"/>
      <c r="BA15" s="1"/>
      <c r="BB15" s="1"/>
      <c r="BC15" s="1"/>
      <c r="BD15" s="1"/>
      <c r="BE15" s="1"/>
      <c r="BF15" s="1"/>
      <c r="BG15" s="1"/>
      <c r="BH15" s="1"/>
      <c r="BI15" s="1"/>
      <c r="BJ15" s="1"/>
      <c r="BK15" s="1"/>
      <c r="BL15" s="1"/>
      <c r="BM15" s="1"/>
      <c r="BN15" s="1"/>
      <c r="BO15" s="1"/>
      <c r="BP15" s="1"/>
      <c r="BQ15" s="1"/>
      <c r="BR15" s="1"/>
      <c r="BS15" s="1"/>
      <c r="BT15" s="1"/>
    </row>
    <row r="16" spans="1:72" ht="15.75" x14ac:dyDescent="0.25">
      <c r="A16" s="220"/>
      <c r="B16" s="221"/>
      <c r="C16" s="221"/>
      <c r="D16" s="222"/>
      <c r="E16" s="4" t="s">
        <v>11</v>
      </c>
      <c r="F16" s="128"/>
      <c r="G16" s="129"/>
      <c r="H16" s="148">
        <f t="shared" si="0"/>
        <v>0</v>
      </c>
      <c r="I16" s="38"/>
      <c r="J16" s="16"/>
      <c r="K16" s="139"/>
      <c r="L16" s="139"/>
      <c r="M16" s="139"/>
      <c r="N16" s="139"/>
      <c r="O16" s="16"/>
      <c r="P16" s="16"/>
      <c r="Q16" s="16"/>
      <c r="R16" s="16"/>
      <c r="S16" s="16"/>
      <c r="T16" s="16"/>
      <c r="U16" s="16"/>
      <c r="V16" s="16"/>
      <c r="W16" s="16"/>
      <c r="X16" s="16"/>
      <c r="Y16" s="1"/>
      <c r="Z16" s="120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  <c r="AX16" s="1"/>
      <c r="AY16" s="1"/>
      <c r="AZ16" s="1"/>
      <c r="BA16" s="1"/>
      <c r="BB16" s="1"/>
      <c r="BC16" s="1"/>
      <c r="BD16" s="1"/>
      <c r="BE16" s="1"/>
      <c r="BF16" s="1"/>
      <c r="BG16" s="1"/>
      <c r="BH16" s="1"/>
      <c r="BI16" s="1"/>
      <c r="BJ16" s="1"/>
      <c r="BK16" s="1"/>
      <c r="BL16" s="1"/>
      <c r="BM16" s="1"/>
      <c r="BN16" s="1"/>
      <c r="BO16" s="1"/>
      <c r="BP16" s="1"/>
      <c r="BQ16" s="1"/>
      <c r="BR16" s="1"/>
      <c r="BS16" s="1"/>
      <c r="BT16" s="1"/>
    </row>
    <row r="17" spans="1:72" ht="15.75" x14ac:dyDescent="0.25">
      <c r="A17" s="220"/>
      <c r="B17" s="221"/>
      <c r="C17" s="221"/>
      <c r="D17" s="222"/>
      <c r="E17" s="4" t="s">
        <v>11</v>
      </c>
      <c r="F17" s="128"/>
      <c r="G17" s="129"/>
      <c r="H17" s="148">
        <f t="shared" si="0"/>
        <v>0</v>
      </c>
      <c r="I17" s="38"/>
      <c r="J17" s="16"/>
      <c r="K17" s="139"/>
      <c r="L17" s="139"/>
      <c r="M17" s="139"/>
      <c r="N17" s="139"/>
      <c r="O17" s="16"/>
      <c r="P17" s="16"/>
      <c r="Q17" s="16"/>
      <c r="R17" s="16"/>
      <c r="S17" s="16"/>
      <c r="T17" s="16"/>
      <c r="U17" s="16"/>
      <c r="V17" s="16"/>
      <c r="W17" s="16"/>
      <c r="X17" s="16"/>
      <c r="Y17" s="1"/>
      <c r="Z17" s="120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  <c r="AX17" s="1"/>
      <c r="AY17" s="1"/>
      <c r="AZ17" s="1"/>
      <c r="BA17" s="1"/>
      <c r="BB17" s="1"/>
      <c r="BC17" s="1"/>
      <c r="BD17" s="1"/>
      <c r="BE17" s="1"/>
      <c r="BF17" s="1"/>
      <c r="BG17" s="1"/>
      <c r="BH17" s="1"/>
      <c r="BI17" s="1"/>
      <c r="BJ17" s="1"/>
      <c r="BK17" s="1"/>
      <c r="BL17" s="1"/>
      <c r="BM17" s="1"/>
      <c r="BN17" s="1"/>
      <c r="BO17" s="1"/>
      <c r="BP17" s="1"/>
      <c r="BQ17" s="1"/>
      <c r="BR17" s="1"/>
      <c r="BS17" s="1"/>
      <c r="BT17" s="1"/>
    </row>
    <row r="18" spans="1:72" ht="15.75" x14ac:dyDescent="0.25">
      <c r="A18" s="220"/>
      <c r="B18" s="221"/>
      <c r="C18" s="221"/>
      <c r="D18" s="222"/>
      <c r="E18" s="4" t="s">
        <v>11</v>
      </c>
      <c r="F18" s="128"/>
      <c r="G18" s="129"/>
      <c r="H18" s="148">
        <f t="shared" si="0"/>
        <v>0</v>
      </c>
      <c r="I18" s="38"/>
      <c r="J18" s="16"/>
      <c r="K18" s="139"/>
      <c r="L18" s="139"/>
      <c r="M18" s="139"/>
      <c r="N18" s="139"/>
      <c r="O18" s="16"/>
      <c r="P18" s="16"/>
      <c r="Q18" s="16"/>
      <c r="R18" s="16"/>
      <c r="S18" s="16"/>
      <c r="T18" s="16"/>
      <c r="U18" s="16"/>
      <c r="V18" s="16"/>
      <c r="W18" s="16"/>
      <c r="X18" s="16"/>
      <c r="Y18" s="1"/>
      <c r="Z18" s="120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/>
      <c r="AY18" s="1"/>
      <c r="AZ18" s="1"/>
      <c r="BA18" s="1"/>
      <c r="BB18" s="1"/>
      <c r="BC18" s="1"/>
      <c r="BD18" s="1"/>
      <c r="BE18" s="1"/>
      <c r="BF18" s="1"/>
      <c r="BG18" s="1"/>
      <c r="BH18" s="1"/>
      <c r="BI18" s="1"/>
      <c r="BJ18" s="1"/>
      <c r="BK18" s="1"/>
      <c r="BL18" s="1"/>
      <c r="BM18" s="1"/>
      <c r="BN18" s="1"/>
      <c r="BO18" s="1"/>
      <c r="BP18" s="1"/>
      <c r="BQ18" s="1"/>
      <c r="BR18" s="1"/>
      <c r="BS18" s="1"/>
      <c r="BT18" s="1"/>
    </row>
    <row r="19" spans="1:72" ht="15.75" x14ac:dyDescent="0.25">
      <c r="A19" s="220"/>
      <c r="B19" s="221"/>
      <c r="C19" s="221"/>
      <c r="D19" s="222"/>
      <c r="E19" s="4" t="s">
        <v>11</v>
      </c>
      <c r="F19" s="128"/>
      <c r="G19" s="129"/>
      <c r="H19" s="148">
        <f t="shared" si="0"/>
        <v>0</v>
      </c>
      <c r="I19" s="38"/>
      <c r="J19" s="16"/>
      <c r="K19" s="139"/>
      <c r="L19" s="139"/>
      <c r="M19" s="139"/>
      <c r="N19" s="139"/>
      <c r="O19" s="16"/>
      <c r="P19" s="16"/>
      <c r="Q19" s="16"/>
      <c r="R19" s="16"/>
      <c r="S19" s="16"/>
      <c r="T19" s="16"/>
      <c r="U19" s="16"/>
      <c r="V19" s="16"/>
      <c r="W19" s="16"/>
      <c r="X19" s="16"/>
      <c r="Y19" s="1"/>
      <c r="Z19" s="120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  <c r="AX19" s="1"/>
      <c r="AY19" s="1"/>
      <c r="AZ19" s="1"/>
      <c r="BA19" s="1"/>
      <c r="BB19" s="1"/>
      <c r="BC19" s="1"/>
      <c r="BD19" s="1"/>
      <c r="BE19" s="1"/>
      <c r="BF19" s="1"/>
      <c r="BG19" s="1"/>
      <c r="BH19" s="1"/>
      <c r="BI19" s="1"/>
      <c r="BJ19" s="1"/>
      <c r="BK19" s="1"/>
      <c r="BL19" s="1"/>
      <c r="BM19" s="1"/>
      <c r="BN19" s="1"/>
      <c r="BO19" s="1"/>
      <c r="BP19" s="1"/>
      <c r="BQ19" s="1"/>
      <c r="BR19" s="1"/>
      <c r="BS19" s="1"/>
      <c r="BT19" s="1"/>
    </row>
    <row r="20" spans="1:72" ht="15.75" x14ac:dyDescent="0.25">
      <c r="A20" s="220"/>
      <c r="B20" s="221"/>
      <c r="C20" s="221"/>
      <c r="D20" s="222"/>
      <c r="E20" s="4" t="s">
        <v>11</v>
      </c>
      <c r="F20" s="128"/>
      <c r="G20" s="129"/>
      <c r="H20" s="148">
        <f t="shared" ref="H20:H26" si="1">G20*F20</f>
        <v>0</v>
      </c>
      <c r="I20" s="134"/>
      <c r="J20" s="16"/>
      <c r="K20" s="139"/>
      <c r="L20" s="139"/>
      <c r="M20" s="139"/>
      <c r="N20" s="139"/>
      <c r="O20" s="16"/>
      <c r="P20" s="16"/>
      <c r="Q20" s="16"/>
      <c r="R20" s="16"/>
      <c r="S20" s="16"/>
      <c r="T20" s="16"/>
      <c r="U20" s="16"/>
      <c r="V20" s="16"/>
      <c r="W20" s="16"/>
      <c r="X20" s="16"/>
      <c r="Y20" s="1"/>
      <c r="Z20" s="120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  <c r="AX20" s="1"/>
      <c r="AY20" s="1"/>
      <c r="AZ20" s="1"/>
      <c r="BA20" s="1"/>
      <c r="BB20" s="1"/>
      <c r="BC20" s="1"/>
      <c r="BD20" s="1"/>
      <c r="BE20" s="1"/>
      <c r="BF20" s="1"/>
      <c r="BG20" s="1"/>
      <c r="BH20" s="1"/>
      <c r="BI20" s="1"/>
      <c r="BJ20" s="1"/>
      <c r="BK20" s="1"/>
      <c r="BL20" s="1"/>
      <c r="BM20" s="1"/>
      <c r="BN20" s="1"/>
      <c r="BO20" s="1"/>
      <c r="BP20" s="1"/>
      <c r="BQ20" s="1"/>
      <c r="BR20" s="1"/>
      <c r="BS20" s="1"/>
      <c r="BT20" s="1"/>
    </row>
    <row r="21" spans="1:72" ht="15.75" x14ac:dyDescent="0.25">
      <c r="A21" s="220"/>
      <c r="B21" s="221"/>
      <c r="C21" s="221"/>
      <c r="D21" s="222"/>
      <c r="E21" s="4" t="s">
        <v>11</v>
      </c>
      <c r="F21" s="128"/>
      <c r="G21" s="129"/>
      <c r="H21" s="148">
        <f t="shared" si="1"/>
        <v>0</v>
      </c>
      <c r="I21" s="134"/>
      <c r="J21" s="16"/>
      <c r="K21" s="139"/>
      <c r="L21" s="139"/>
      <c r="M21" s="139"/>
      <c r="N21" s="139"/>
      <c r="O21" s="16"/>
      <c r="P21" s="16"/>
      <c r="Q21" s="16"/>
      <c r="R21" s="16"/>
      <c r="S21" s="16"/>
      <c r="T21" s="16"/>
      <c r="U21" s="16"/>
      <c r="V21" s="16"/>
      <c r="W21" s="16"/>
      <c r="X21" s="16"/>
      <c r="Y21" s="1"/>
      <c r="Z21" s="120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  <c r="AX21" s="1"/>
      <c r="AY21" s="1"/>
      <c r="AZ21" s="1"/>
      <c r="BA21" s="1"/>
      <c r="BB21" s="1"/>
      <c r="BC21" s="1"/>
      <c r="BD21" s="1"/>
      <c r="BE21" s="1"/>
      <c r="BF21" s="1"/>
      <c r="BG21" s="1"/>
      <c r="BH21" s="1"/>
      <c r="BI21" s="1"/>
      <c r="BJ21" s="1"/>
      <c r="BK21" s="1"/>
      <c r="BL21" s="1"/>
      <c r="BM21" s="1"/>
      <c r="BN21" s="1"/>
      <c r="BO21" s="1"/>
      <c r="BP21" s="1"/>
      <c r="BQ21" s="1"/>
      <c r="BR21" s="1"/>
      <c r="BS21" s="1"/>
      <c r="BT21" s="1"/>
    </row>
    <row r="22" spans="1:72" ht="15.75" x14ac:dyDescent="0.25">
      <c r="A22" s="220"/>
      <c r="B22" s="221"/>
      <c r="C22" s="221"/>
      <c r="D22" s="222"/>
      <c r="E22" s="4" t="s">
        <v>11</v>
      </c>
      <c r="F22" s="128"/>
      <c r="G22" s="129"/>
      <c r="H22" s="148">
        <f t="shared" si="1"/>
        <v>0</v>
      </c>
      <c r="I22" s="134"/>
      <c r="J22" s="16"/>
      <c r="K22" s="139"/>
      <c r="L22" s="266" t="s">
        <v>158</v>
      </c>
      <c r="M22" s="266"/>
      <c r="N22" s="266"/>
      <c r="O22" s="266"/>
      <c r="P22" s="266"/>
      <c r="Q22" s="266"/>
      <c r="R22" s="16"/>
      <c r="S22" s="16"/>
      <c r="T22" s="16"/>
      <c r="U22" s="16"/>
      <c r="V22" s="16"/>
      <c r="W22" s="16"/>
      <c r="X22" s="16"/>
      <c r="Y22" s="1"/>
      <c r="Z22" s="120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  <c r="AX22" s="1"/>
      <c r="AY22" s="1"/>
      <c r="AZ22" s="1"/>
      <c r="BA22" s="1"/>
      <c r="BB22" s="1"/>
      <c r="BC22" s="1"/>
      <c r="BD22" s="1"/>
      <c r="BE22" s="1"/>
      <c r="BF22" s="1"/>
      <c r="BG22" s="1"/>
      <c r="BH22" s="1"/>
      <c r="BI22" s="1"/>
      <c r="BJ22" s="1"/>
      <c r="BK22" s="1"/>
      <c r="BL22" s="1"/>
      <c r="BM22" s="1"/>
      <c r="BN22" s="1"/>
      <c r="BO22" s="1"/>
      <c r="BP22" s="1"/>
      <c r="BQ22" s="1"/>
      <c r="BR22" s="1"/>
      <c r="BS22" s="1"/>
      <c r="BT22" s="1"/>
    </row>
    <row r="23" spans="1:72" ht="15.75" x14ac:dyDescent="0.25">
      <c r="A23" s="220"/>
      <c r="B23" s="221"/>
      <c r="C23" s="221"/>
      <c r="D23" s="222"/>
      <c r="E23" s="4" t="s">
        <v>11</v>
      </c>
      <c r="F23" s="128"/>
      <c r="G23" s="129"/>
      <c r="H23" s="148">
        <f t="shared" si="1"/>
        <v>0</v>
      </c>
      <c r="I23" s="134"/>
      <c r="J23" s="16"/>
      <c r="K23" s="139"/>
      <c r="L23" s="266"/>
      <c r="M23" s="266"/>
      <c r="N23" s="266"/>
      <c r="O23" s="266"/>
      <c r="P23" s="266"/>
      <c r="Q23" s="266"/>
      <c r="R23" s="16"/>
      <c r="S23" s="16"/>
      <c r="T23" s="16"/>
      <c r="U23" s="16"/>
      <c r="V23" s="16"/>
      <c r="W23" s="16"/>
      <c r="X23" s="16"/>
      <c r="Y23" s="1"/>
      <c r="Z23" s="120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  <c r="AX23" s="1"/>
      <c r="AY23" s="1"/>
      <c r="AZ23" s="1"/>
      <c r="BA23" s="1"/>
      <c r="BB23" s="1"/>
      <c r="BC23" s="1"/>
      <c r="BD23" s="1"/>
      <c r="BE23" s="1"/>
      <c r="BF23" s="1"/>
      <c r="BG23" s="1"/>
      <c r="BH23" s="1"/>
      <c r="BI23" s="1"/>
      <c r="BJ23" s="1"/>
      <c r="BK23" s="1"/>
      <c r="BL23" s="1"/>
      <c r="BM23" s="1"/>
      <c r="BN23" s="1"/>
      <c r="BO23" s="1"/>
      <c r="BP23" s="1"/>
      <c r="BQ23" s="1"/>
      <c r="BR23" s="1"/>
      <c r="BS23" s="1"/>
      <c r="BT23" s="1"/>
    </row>
    <row r="24" spans="1:72" ht="15.75" x14ac:dyDescent="0.25">
      <c r="A24" s="220"/>
      <c r="B24" s="221"/>
      <c r="C24" s="221"/>
      <c r="D24" s="222"/>
      <c r="E24" s="4" t="s">
        <v>11</v>
      </c>
      <c r="F24" s="128"/>
      <c r="G24" s="129"/>
      <c r="H24" s="148">
        <f t="shared" si="1"/>
        <v>0</v>
      </c>
      <c r="I24" s="134"/>
      <c r="J24" s="16"/>
      <c r="K24" s="139"/>
      <c r="L24" s="266"/>
      <c r="M24" s="266"/>
      <c r="N24" s="266"/>
      <c r="O24" s="266"/>
      <c r="P24" s="266"/>
      <c r="Q24" s="266"/>
      <c r="R24" s="16"/>
      <c r="S24" s="16"/>
      <c r="T24" s="16"/>
      <c r="U24" s="16"/>
      <c r="V24" s="16"/>
      <c r="W24" s="16"/>
      <c r="X24" s="16"/>
      <c r="Y24" s="1"/>
      <c r="Z24" s="120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  <c r="AX24" s="1"/>
      <c r="AY24" s="1"/>
      <c r="AZ24" s="1"/>
      <c r="BA24" s="1"/>
      <c r="BB24" s="1"/>
      <c r="BC24" s="1"/>
      <c r="BD24" s="1"/>
      <c r="BE24" s="1"/>
      <c r="BF24" s="1"/>
      <c r="BG24" s="1"/>
      <c r="BH24" s="1"/>
      <c r="BI24" s="1"/>
      <c r="BJ24" s="1"/>
      <c r="BK24" s="1"/>
      <c r="BL24" s="1"/>
      <c r="BM24" s="1"/>
      <c r="BN24" s="1"/>
      <c r="BO24" s="1"/>
      <c r="BP24" s="1"/>
      <c r="BQ24" s="1"/>
      <c r="BR24" s="1"/>
      <c r="BS24" s="1"/>
      <c r="BT24" s="1"/>
    </row>
    <row r="25" spans="1:72" ht="15.75" x14ac:dyDescent="0.25">
      <c r="A25" s="220"/>
      <c r="B25" s="221"/>
      <c r="C25" s="221"/>
      <c r="D25" s="222"/>
      <c r="E25" s="4" t="s">
        <v>11</v>
      </c>
      <c r="F25" s="128"/>
      <c r="G25" s="129"/>
      <c r="H25" s="148">
        <f t="shared" si="1"/>
        <v>0</v>
      </c>
      <c r="I25" s="134"/>
      <c r="J25" s="16"/>
      <c r="K25" s="139"/>
      <c r="L25" s="266"/>
      <c r="M25" s="266"/>
      <c r="N25" s="266"/>
      <c r="O25" s="266"/>
      <c r="P25" s="266"/>
      <c r="Q25" s="266"/>
      <c r="R25" s="16"/>
      <c r="S25" s="16"/>
      <c r="T25" s="16"/>
      <c r="U25" s="16"/>
      <c r="V25" s="16"/>
      <c r="W25" s="16"/>
      <c r="X25" s="16"/>
      <c r="Y25" s="1"/>
      <c r="Z25" s="120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  <c r="AX25" s="1"/>
      <c r="AY25" s="1"/>
      <c r="AZ25" s="1"/>
      <c r="BA25" s="1"/>
      <c r="BB25" s="1"/>
      <c r="BC25" s="1"/>
      <c r="BD25" s="1"/>
      <c r="BE25" s="1"/>
      <c r="BF25" s="1"/>
      <c r="BG25" s="1"/>
      <c r="BH25" s="1"/>
      <c r="BI25" s="1"/>
      <c r="BJ25" s="1"/>
      <c r="BK25" s="1"/>
      <c r="BL25" s="1"/>
      <c r="BM25" s="1"/>
      <c r="BN25" s="1"/>
      <c r="BO25" s="1"/>
      <c r="BP25" s="1"/>
      <c r="BQ25" s="1"/>
      <c r="BR25" s="1"/>
      <c r="BS25" s="1"/>
      <c r="BT25" s="1"/>
    </row>
    <row r="26" spans="1:72" ht="15.75" x14ac:dyDescent="0.25">
      <c r="A26" s="220"/>
      <c r="B26" s="221"/>
      <c r="C26" s="221"/>
      <c r="D26" s="222"/>
      <c r="E26" s="4" t="s">
        <v>11</v>
      </c>
      <c r="F26" s="128"/>
      <c r="G26" s="129"/>
      <c r="H26" s="148">
        <f t="shared" si="1"/>
        <v>0</v>
      </c>
      <c r="I26" s="134">
        <f>H26*1.455</f>
        <v>0</v>
      </c>
      <c r="J26" s="16"/>
      <c r="K26" s="139"/>
      <c r="L26" s="139"/>
      <c r="M26" s="139"/>
      <c r="N26" s="139"/>
      <c r="O26" s="16"/>
      <c r="P26" s="16"/>
      <c r="Q26" s="16"/>
      <c r="R26" s="16"/>
      <c r="S26" s="16"/>
      <c r="T26" s="16"/>
      <c r="U26" s="16"/>
      <c r="V26" s="16"/>
      <c r="W26" s="16"/>
      <c r="X26" s="16"/>
      <c r="Y26" s="1"/>
      <c r="Z26" s="120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  <c r="AX26" s="1"/>
      <c r="AY26" s="1"/>
      <c r="AZ26" s="1"/>
      <c r="BA26" s="1"/>
      <c r="BB26" s="1"/>
      <c r="BC26" s="1"/>
      <c r="BD26" s="1"/>
      <c r="BE26" s="1"/>
      <c r="BF26" s="1"/>
      <c r="BG26" s="1"/>
      <c r="BH26" s="1"/>
      <c r="BI26" s="1"/>
      <c r="BJ26" s="1"/>
      <c r="BK26" s="1"/>
      <c r="BL26" s="1"/>
      <c r="BM26" s="1"/>
      <c r="BN26" s="1"/>
      <c r="BO26" s="1"/>
      <c r="BP26" s="1"/>
      <c r="BQ26" s="1"/>
      <c r="BR26" s="1"/>
      <c r="BS26" s="1"/>
      <c r="BT26" s="1"/>
    </row>
    <row r="27" spans="1:72" ht="15.75" x14ac:dyDescent="0.25">
      <c r="A27" s="16"/>
      <c r="B27" s="16"/>
      <c r="C27" s="16"/>
      <c r="D27" s="16"/>
      <c r="E27" s="16"/>
      <c r="F27" s="16"/>
      <c r="G27" s="6" t="s">
        <v>12</v>
      </c>
      <c r="H27" s="6">
        <f>SUM(H9:H26)</f>
        <v>0</v>
      </c>
      <c r="I27" s="134"/>
      <c r="J27" s="2"/>
      <c r="K27" s="139"/>
      <c r="L27" s="139"/>
      <c r="M27" s="143"/>
      <c r="N27" s="139"/>
      <c r="O27" s="16"/>
      <c r="P27" s="16"/>
      <c r="Q27" s="16"/>
      <c r="R27" s="16"/>
      <c r="S27" s="16"/>
      <c r="T27" s="16"/>
      <c r="U27" s="16"/>
      <c r="V27" s="16"/>
      <c r="W27" s="16"/>
      <c r="X27" s="16"/>
      <c r="Y27" s="1"/>
      <c r="Z27" s="120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  <c r="AX27" s="1"/>
      <c r="AY27" s="1"/>
      <c r="AZ27" s="1"/>
      <c r="BA27" s="1"/>
      <c r="BB27" s="1"/>
      <c r="BC27" s="1"/>
      <c r="BD27" s="1"/>
      <c r="BE27" s="1"/>
      <c r="BF27" s="1"/>
      <c r="BG27" s="1"/>
      <c r="BH27" s="1"/>
      <c r="BI27" s="1"/>
      <c r="BJ27" s="1"/>
      <c r="BK27" s="1"/>
      <c r="BL27" s="1"/>
      <c r="BM27" s="1"/>
      <c r="BN27" s="1"/>
      <c r="BO27" s="1"/>
      <c r="BP27" s="1"/>
      <c r="BQ27" s="1"/>
      <c r="BR27" s="1"/>
      <c r="BS27" s="1"/>
      <c r="BT27" s="1"/>
    </row>
    <row r="28" spans="1:72" ht="15.75" x14ac:dyDescent="0.25">
      <c r="A28" s="27"/>
      <c r="B28" s="16"/>
      <c r="C28" s="16"/>
      <c r="D28" s="16"/>
      <c r="E28" s="16"/>
      <c r="F28" s="16"/>
      <c r="G28" s="16"/>
      <c r="H28" s="30"/>
      <c r="I28" s="30"/>
      <c r="J28" s="144"/>
      <c r="K28" s="144"/>
      <c r="L28" s="16"/>
      <c r="M28" s="3"/>
      <c r="N28" s="16"/>
      <c r="O28" s="16"/>
      <c r="P28" s="16"/>
      <c r="Q28" s="16"/>
      <c r="R28" s="16"/>
      <c r="S28" s="16"/>
      <c r="T28" s="16"/>
      <c r="U28" s="16"/>
      <c r="V28" s="16"/>
      <c r="W28" s="16"/>
      <c r="X28" s="16"/>
      <c r="Y28" s="1"/>
      <c r="Z28" s="120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  <c r="AX28" s="1"/>
      <c r="AY28" s="1"/>
      <c r="AZ28" s="1"/>
      <c r="BA28" s="1"/>
      <c r="BB28" s="1"/>
      <c r="BC28" s="1"/>
      <c r="BD28" s="1"/>
      <c r="BE28" s="1"/>
      <c r="BF28" s="1"/>
      <c r="BG28" s="1"/>
      <c r="BH28" s="1"/>
      <c r="BI28" s="1"/>
      <c r="BJ28" s="1"/>
      <c r="BK28" s="1"/>
      <c r="BL28" s="1"/>
      <c r="BM28" s="1"/>
      <c r="BN28" s="1"/>
      <c r="BO28" s="1"/>
      <c r="BP28" s="1"/>
      <c r="BQ28" s="1"/>
      <c r="BR28" s="1"/>
      <c r="BS28" s="1"/>
      <c r="BT28" s="1"/>
    </row>
    <row r="29" spans="1:72" ht="15.75" x14ac:dyDescent="0.25">
      <c r="A29" s="3" t="s">
        <v>13</v>
      </c>
      <c r="B29" s="7"/>
      <c r="C29" s="7"/>
      <c r="D29" s="7"/>
      <c r="E29" s="7"/>
      <c r="F29" s="7"/>
      <c r="G29" s="8"/>
      <c r="H29" s="9"/>
      <c r="I29" s="9"/>
      <c r="J29" s="10"/>
      <c r="K29" s="7"/>
      <c r="L29" s="7"/>
      <c r="M29" s="7"/>
      <c r="N29" s="7"/>
      <c r="O29" s="267" t="s">
        <v>14</v>
      </c>
      <c r="P29" s="268"/>
      <c r="Q29" s="268"/>
      <c r="R29" s="268"/>
      <c r="S29" s="268"/>
      <c r="T29" s="268"/>
      <c r="U29" s="269"/>
      <c r="V29" s="229" t="s">
        <v>15</v>
      </c>
      <c r="W29" s="229"/>
      <c r="X29" s="230"/>
      <c r="Y29" s="1" t="s">
        <v>157</v>
      </c>
      <c r="Z29" s="120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  <c r="AX29" s="1"/>
      <c r="AY29" s="1"/>
      <c r="AZ29" s="1"/>
      <c r="BA29" s="1"/>
      <c r="BB29" s="1"/>
      <c r="BC29" s="1"/>
      <c r="BD29" s="1"/>
      <c r="BE29" s="1"/>
      <c r="BF29" s="1"/>
      <c r="BG29" s="1"/>
      <c r="BH29" s="1"/>
      <c r="BI29" s="1"/>
      <c r="BJ29" s="1"/>
      <c r="BK29" s="1"/>
      <c r="BL29" s="1"/>
      <c r="BM29" s="1"/>
      <c r="BN29" s="1"/>
      <c r="BO29" s="1"/>
      <c r="BP29" s="1"/>
      <c r="BQ29" s="1"/>
      <c r="BR29" s="1"/>
      <c r="BS29" s="1"/>
      <c r="BT29" s="1"/>
    </row>
    <row r="30" spans="1:72" ht="31.5" x14ac:dyDescent="0.25">
      <c r="A30" s="231" t="s">
        <v>16</v>
      </c>
      <c r="B30" s="231"/>
      <c r="C30" s="231"/>
      <c r="D30" s="231"/>
      <c r="E30" s="121" t="s">
        <v>8</v>
      </c>
      <c r="F30" s="121" t="s">
        <v>9</v>
      </c>
      <c r="G30" s="121" t="s">
        <v>159</v>
      </c>
      <c r="H30" s="121" t="s">
        <v>0</v>
      </c>
      <c r="I30" s="121" t="s">
        <v>9</v>
      </c>
      <c r="J30" s="121" t="s">
        <v>17</v>
      </c>
      <c r="K30" s="121" t="s">
        <v>0</v>
      </c>
      <c r="L30" s="121" t="s">
        <v>9</v>
      </c>
      <c r="M30" s="11" t="s">
        <v>160</v>
      </c>
      <c r="N30" s="121" t="s">
        <v>0</v>
      </c>
      <c r="O30" s="121" t="s">
        <v>18</v>
      </c>
      <c r="P30" s="121" t="s">
        <v>19</v>
      </c>
      <c r="Q30" s="121" t="s">
        <v>20</v>
      </c>
      <c r="R30" s="121" t="s">
        <v>21</v>
      </c>
      <c r="S30" s="121" t="s">
        <v>22</v>
      </c>
      <c r="T30" s="121" t="s">
        <v>23</v>
      </c>
      <c r="U30" s="121" t="s">
        <v>24</v>
      </c>
      <c r="V30" s="11" t="s">
        <v>25</v>
      </c>
      <c r="W30" s="11" t="s">
        <v>24</v>
      </c>
      <c r="X30" s="11" t="s">
        <v>26</v>
      </c>
      <c r="Y30" s="1"/>
      <c r="Z30" s="120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  <c r="AX30" s="1"/>
      <c r="AY30" s="1"/>
      <c r="AZ30" s="1"/>
      <c r="BA30" s="1"/>
      <c r="BB30" s="1"/>
      <c r="BC30" s="1"/>
      <c r="BD30" s="1"/>
      <c r="BE30" s="1"/>
      <c r="BF30" s="1"/>
      <c r="BG30" s="1"/>
      <c r="BH30" s="1"/>
      <c r="BI30" s="1"/>
      <c r="BJ30" s="1"/>
      <c r="BK30" s="1"/>
      <c r="BL30" s="1"/>
      <c r="BM30" s="1"/>
      <c r="BN30" s="1"/>
      <c r="BO30" s="1"/>
      <c r="BP30" s="1"/>
      <c r="BQ30" s="1"/>
      <c r="BR30" s="1"/>
      <c r="BS30" s="1"/>
      <c r="BT30" s="1"/>
    </row>
    <row r="31" spans="1:72" ht="15.75" x14ac:dyDescent="0.25">
      <c r="A31" s="232" t="s">
        <v>30</v>
      </c>
      <c r="B31" s="233"/>
      <c r="C31" s="233"/>
      <c r="D31" s="234"/>
      <c r="E31" s="124" t="s">
        <v>28</v>
      </c>
      <c r="F31" s="128"/>
      <c r="G31" s="12">
        <v>390.39</v>
      </c>
      <c r="H31" s="12">
        <f t="shared" ref="H31:H44" si="2">F31*G31</f>
        <v>0</v>
      </c>
      <c r="I31" s="128"/>
      <c r="J31" s="13">
        <v>358.81</v>
      </c>
      <c r="K31" s="13">
        <f t="shared" ref="K31:K53" si="3">I31*J31</f>
        <v>0</v>
      </c>
      <c r="L31" s="129"/>
      <c r="M31" s="13">
        <v>538.27</v>
      </c>
      <c r="N31" s="13">
        <f t="shared" ref="N31:N53" si="4">L31*M31</f>
        <v>0</v>
      </c>
      <c r="O31" s="107"/>
      <c r="P31" s="107"/>
      <c r="Q31" s="107"/>
      <c r="R31" s="107"/>
      <c r="S31" s="107"/>
      <c r="T31" s="107"/>
      <c r="U31" s="107"/>
      <c r="V31" s="15">
        <f t="shared" ref="V31:V53" si="5">+O31+P31+Q31+R31+S31+T31+U31-W31-X31</f>
        <v>0</v>
      </c>
      <c r="W31" s="107"/>
      <c r="X31" s="107"/>
      <c r="Y31" s="16"/>
      <c r="Z31" s="17"/>
      <c r="AA31" s="16"/>
      <c r="AB31" s="16"/>
      <c r="AC31" s="16"/>
      <c r="AD31" s="16"/>
      <c r="AE31" s="16"/>
      <c r="AF31" s="16"/>
      <c r="AG31" s="16"/>
      <c r="AH31" s="16"/>
      <c r="AI31" s="16"/>
      <c r="AJ31" s="16"/>
      <c r="AK31" s="16"/>
      <c r="AL31" s="16"/>
      <c r="AM31" s="16"/>
      <c r="AN31" s="16"/>
      <c r="AO31" s="16"/>
      <c r="AP31" s="16"/>
      <c r="AQ31" s="16"/>
      <c r="AR31" s="16"/>
      <c r="AS31" s="16"/>
      <c r="AT31" s="16"/>
      <c r="AU31" s="16"/>
      <c r="AV31" s="16"/>
      <c r="AW31" s="16"/>
      <c r="AX31" s="16"/>
      <c r="AY31" s="16"/>
      <c r="AZ31" s="16"/>
      <c r="BA31" s="16"/>
      <c r="BB31" s="16"/>
      <c r="BC31" s="16"/>
      <c r="BD31" s="16"/>
      <c r="BE31" s="16"/>
      <c r="BF31" s="16"/>
      <c r="BG31" s="16"/>
      <c r="BH31" s="16"/>
      <c r="BI31" s="16"/>
      <c r="BJ31" s="16"/>
      <c r="BK31" s="16"/>
      <c r="BL31" s="16"/>
      <c r="BM31" s="16"/>
      <c r="BN31" s="16"/>
      <c r="BO31" s="16"/>
      <c r="BP31" s="16"/>
      <c r="BQ31" s="16"/>
      <c r="BR31" s="16"/>
      <c r="BS31" s="16"/>
      <c r="BT31" s="16"/>
    </row>
    <row r="32" spans="1:72" ht="15.75" x14ac:dyDescent="0.25">
      <c r="A32" s="235" t="s">
        <v>163</v>
      </c>
      <c r="B32" s="235"/>
      <c r="C32" s="235"/>
      <c r="D32" s="235"/>
      <c r="E32" s="124" t="s">
        <v>28</v>
      </c>
      <c r="F32" s="128"/>
      <c r="G32" s="12">
        <v>243.45</v>
      </c>
      <c r="H32" s="12">
        <f t="shared" si="2"/>
        <v>0</v>
      </c>
      <c r="I32" s="128"/>
      <c r="J32" s="13">
        <v>211.59</v>
      </c>
      <c r="K32" s="13">
        <f t="shared" si="3"/>
        <v>0</v>
      </c>
      <c r="L32" s="129"/>
      <c r="M32" s="13">
        <v>317.39</v>
      </c>
      <c r="N32" s="13">
        <f t="shared" si="4"/>
        <v>0</v>
      </c>
      <c r="O32" s="107"/>
      <c r="P32" s="107"/>
      <c r="Q32" s="107"/>
      <c r="R32" s="107"/>
      <c r="S32" s="107"/>
      <c r="T32" s="107"/>
      <c r="U32" s="107"/>
      <c r="V32" s="15">
        <f t="shared" si="5"/>
        <v>0</v>
      </c>
      <c r="W32" s="107"/>
      <c r="X32" s="107"/>
      <c r="Y32" s="16" t="s">
        <v>168</v>
      </c>
      <c r="Z32" s="17"/>
      <c r="AA32" s="16"/>
      <c r="AB32" s="16"/>
      <c r="AC32" s="16"/>
      <c r="AD32" s="16"/>
      <c r="AE32" s="16"/>
      <c r="AF32" s="16"/>
      <c r="AG32" s="16"/>
      <c r="AH32" s="16"/>
      <c r="AI32" s="16"/>
      <c r="AJ32" s="16"/>
      <c r="AK32" s="16"/>
      <c r="AL32" s="16"/>
      <c r="AM32" s="16"/>
      <c r="AN32" s="16"/>
      <c r="AO32" s="16"/>
      <c r="AP32" s="16"/>
      <c r="AQ32" s="16"/>
      <c r="AR32" s="16"/>
      <c r="AS32" s="16"/>
      <c r="AT32" s="16"/>
      <c r="AU32" s="16"/>
      <c r="AV32" s="16"/>
      <c r="AW32" s="16"/>
      <c r="AX32" s="16"/>
      <c r="AY32" s="16"/>
      <c r="AZ32" s="16"/>
      <c r="BA32" s="16"/>
      <c r="BB32" s="16"/>
      <c r="BC32" s="16"/>
      <c r="BD32" s="16"/>
      <c r="BE32" s="16"/>
      <c r="BF32" s="16"/>
      <c r="BG32" s="16"/>
      <c r="BH32" s="16"/>
      <c r="BI32" s="16"/>
      <c r="BJ32" s="16"/>
      <c r="BK32" s="16"/>
      <c r="BL32" s="16"/>
      <c r="BM32" s="16"/>
      <c r="BN32" s="16"/>
      <c r="BO32" s="16"/>
      <c r="BP32" s="16"/>
      <c r="BQ32" s="16"/>
      <c r="BR32" s="16"/>
      <c r="BS32" s="16"/>
      <c r="BT32" s="16"/>
    </row>
    <row r="33" spans="1:72" s="102" customFormat="1" ht="15.75" x14ac:dyDescent="0.25">
      <c r="A33" s="232" t="s">
        <v>31</v>
      </c>
      <c r="B33" s="233"/>
      <c r="C33" s="233"/>
      <c r="D33" s="234"/>
      <c r="E33" s="124" t="s">
        <v>28</v>
      </c>
      <c r="F33" s="128"/>
      <c r="G33" s="14">
        <v>390.39</v>
      </c>
      <c r="H33" s="12">
        <f t="shared" si="2"/>
        <v>0</v>
      </c>
      <c r="I33" s="128"/>
      <c r="J33" s="13">
        <v>358.81</v>
      </c>
      <c r="K33" s="13">
        <f t="shared" si="3"/>
        <v>0</v>
      </c>
      <c r="L33" s="129"/>
      <c r="M33" s="13">
        <v>538.22</v>
      </c>
      <c r="N33" s="13">
        <f t="shared" si="4"/>
        <v>0</v>
      </c>
      <c r="O33" s="107"/>
      <c r="P33" s="107"/>
      <c r="Q33" s="107"/>
      <c r="R33" s="107"/>
      <c r="S33" s="107"/>
      <c r="T33" s="107"/>
      <c r="U33" s="107"/>
      <c r="V33" s="15">
        <f t="shared" si="5"/>
        <v>0</v>
      </c>
      <c r="W33" s="107"/>
      <c r="X33" s="107"/>
      <c r="Y33" s="7" t="s">
        <v>161</v>
      </c>
      <c r="Z33" s="101"/>
      <c r="AA33" s="7"/>
      <c r="AB33" s="7"/>
      <c r="AC33" s="7"/>
      <c r="AD33" s="7"/>
      <c r="AE33" s="7"/>
      <c r="AF33" s="7"/>
      <c r="AG33" s="7"/>
      <c r="AH33" s="7"/>
      <c r="AI33" s="7"/>
      <c r="AJ33" s="7"/>
      <c r="AK33" s="7"/>
      <c r="AL33" s="7"/>
      <c r="AM33" s="7"/>
      <c r="AN33" s="7"/>
      <c r="AO33" s="7"/>
      <c r="AP33" s="7"/>
      <c r="AQ33" s="7"/>
      <c r="AR33" s="7"/>
      <c r="AS33" s="7"/>
      <c r="AT33" s="7"/>
      <c r="AU33" s="7"/>
      <c r="AV33" s="7"/>
      <c r="AW33" s="7"/>
      <c r="AX33" s="7"/>
      <c r="AY33" s="7"/>
      <c r="AZ33" s="7"/>
      <c r="BA33" s="7"/>
      <c r="BB33" s="7"/>
      <c r="BC33" s="7"/>
      <c r="BD33" s="7"/>
      <c r="BE33" s="7"/>
      <c r="BF33" s="7"/>
      <c r="BG33" s="7"/>
      <c r="BH33" s="7"/>
      <c r="BI33" s="7"/>
      <c r="BJ33" s="7"/>
      <c r="BK33" s="7"/>
      <c r="BL33" s="7"/>
      <c r="BM33" s="7"/>
      <c r="BN33" s="7"/>
      <c r="BO33" s="7"/>
      <c r="BP33" s="7"/>
      <c r="BQ33" s="7"/>
      <c r="BR33" s="7"/>
      <c r="BS33" s="7"/>
      <c r="BT33" s="7"/>
    </row>
    <row r="34" spans="1:72" s="106" customFormat="1" ht="15.75" x14ac:dyDescent="0.25">
      <c r="A34" s="232" t="s">
        <v>32</v>
      </c>
      <c r="B34" s="233"/>
      <c r="C34" s="233"/>
      <c r="D34" s="234"/>
      <c r="E34" s="124" t="s">
        <v>28</v>
      </c>
      <c r="F34" s="128"/>
      <c r="G34" s="14">
        <v>231.67</v>
      </c>
      <c r="H34" s="12">
        <f t="shared" si="2"/>
        <v>0</v>
      </c>
      <c r="I34" s="128"/>
      <c r="J34" s="13">
        <v>197.63</v>
      </c>
      <c r="K34" s="13">
        <f t="shared" si="3"/>
        <v>0</v>
      </c>
      <c r="L34" s="129"/>
      <c r="M34" s="13">
        <v>296.45</v>
      </c>
      <c r="N34" s="13">
        <f t="shared" si="4"/>
        <v>0</v>
      </c>
      <c r="O34" s="107"/>
      <c r="P34" s="107"/>
      <c r="Q34" s="107"/>
      <c r="R34" s="107"/>
      <c r="S34" s="107"/>
      <c r="T34" s="107"/>
      <c r="U34" s="107"/>
      <c r="V34" s="15">
        <f t="shared" si="5"/>
        <v>0</v>
      </c>
      <c r="W34" s="107"/>
      <c r="X34" s="107"/>
      <c r="Y34" s="104" t="s">
        <v>162</v>
      </c>
      <c r="Z34" s="105"/>
      <c r="AA34" s="104"/>
      <c r="AB34" s="104"/>
      <c r="AC34" s="104"/>
      <c r="AD34" s="104"/>
      <c r="AE34" s="104"/>
      <c r="AF34" s="104"/>
      <c r="AG34" s="104"/>
      <c r="AH34" s="104"/>
      <c r="AI34" s="104"/>
      <c r="AJ34" s="104"/>
      <c r="AK34" s="104"/>
      <c r="AL34" s="104"/>
      <c r="AM34" s="104"/>
      <c r="AN34" s="104"/>
      <c r="AO34" s="104"/>
      <c r="AP34" s="104"/>
      <c r="AQ34" s="104"/>
      <c r="AR34" s="104"/>
      <c r="AS34" s="104"/>
      <c r="AT34" s="104"/>
      <c r="AU34" s="104"/>
      <c r="AV34" s="104"/>
      <c r="AW34" s="104"/>
      <c r="AX34" s="104"/>
      <c r="AY34" s="104"/>
      <c r="AZ34" s="104"/>
      <c r="BA34" s="104"/>
      <c r="BB34" s="104"/>
      <c r="BC34" s="104"/>
      <c r="BD34" s="104"/>
      <c r="BE34" s="104"/>
      <c r="BF34" s="104"/>
      <c r="BG34" s="104"/>
      <c r="BH34" s="104"/>
      <c r="BI34" s="104"/>
      <c r="BJ34" s="104"/>
      <c r="BK34" s="104"/>
      <c r="BL34" s="104"/>
      <c r="BM34" s="104"/>
      <c r="BN34" s="104"/>
      <c r="BO34" s="104"/>
      <c r="BP34" s="104"/>
      <c r="BQ34" s="104"/>
      <c r="BR34" s="104"/>
      <c r="BS34" s="104"/>
      <c r="BT34" s="104"/>
    </row>
    <row r="35" spans="1:72" ht="15.75" x14ac:dyDescent="0.25">
      <c r="A35" s="232" t="s">
        <v>33</v>
      </c>
      <c r="B35" s="233"/>
      <c r="C35" s="233"/>
      <c r="D35" s="234"/>
      <c r="E35" s="124" t="s">
        <v>28</v>
      </c>
      <c r="F35" s="128"/>
      <c r="G35" s="14">
        <v>310.62</v>
      </c>
      <c r="H35" s="12">
        <f>F35*G35</f>
        <v>0</v>
      </c>
      <c r="I35" s="128"/>
      <c r="J35" s="13">
        <v>291.24</v>
      </c>
      <c r="K35" s="13">
        <f t="shared" si="3"/>
        <v>0</v>
      </c>
      <c r="L35" s="129"/>
      <c r="M35" s="13">
        <v>436.87</v>
      </c>
      <c r="N35" s="13">
        <f t="shared" si="4"/>
        <v>0</v>
      </c>
      <c r="O35" s="107"/>
      <c r="P35" s="107"/>
      <c r="Q35" s="107"/>
      <c r="R35" s="107"/>
      <c r="S35" s="107"/>
      <c r="T35" s="107"/>
      <c r="U35" s="107"/>
      <c r="V35" s="15">
        <f t="shared" si="5"/>
        <v>0</v>
      </c>
      <c r="W35" s="107"/>
      <c r="X35" s="107"/>
      <c r="Y35" s="16"/>
      <c r="Z35" s="17"/>
      <c r="AA35" s="16"/>
      <c r="AB35" s="16"/>
      <c r="AC35" s="16"/>
      <c r="AD35" s="16"/>
      <c r="AE35" s="16"/>
      <c r="AF35" s="16"/>
      <c r="AG35" s="16"/>
      <c r="AH35" s="16"/>
      <c r="AI35" s="16"/>
      <c r="AJ35" s="16"/>
      <c r="AK35" s="16"/>
      <c r="AL35" s="16"/>
      <c r="AM35" s="16"/>
      <c r="AN35" s="16"/>
      <c r="AO35" s="16"/>
      <c r="AP35" s="16"/>
      <c r="AQ35" s="16"/>
      <c r="AR35" s="16"/>
      <c r="AS35" s="16"/>
      <c r="AT35" s="16"/>
      <c r="AU35" s="16"/>
      <c r="AV35" s="16"/>
      <c r="AW35" s="16"/>
      <c r="AX35" s="16"/>
      <c r="AY35" s="16"/>
      <c r="AZ35" s="16"/>
      <c r="BA35" s="16"/>
      <c r="BB35" s="16"/>
      <c r="BC35" s="16"/>
      <c r="BD35" s="16"/>
      <c r="BE35" s="16"/>
      <c r="BF35" s="16"/>
      <c r="BG35" s="16"/>
      <c r="BH35" s="16"/>
      <c r="BI35" s="16"/>
      <c r="BJ35" s="16"/>
      <c r="BK35" s="16"/>
      <c r="BL35" s="16"/>
      <c r="BM35" s="16"/>
      <c r="BN35" s="16"/>
      <c r="BO35" s="16"/>
      <c r="BP35" s="16"/>
      <c r="BQ35" s="16"/>
      <c r="BR35" s="16"/>
      <c r="BS35" s="16"/>
      <c r="BT35" s="16"/>
    </row>
    <row r="36" spans="1:72" s="100" customFormat="1" ht="15.75" x14ac:dyDescent="0.25">
      <c r="A36" s="232" t="s">
        <v>34</v>
      </c>
      <c r="B36" s="233"/>
      <c r="C36" s="233"/>
      <c r="D36" s="234"/>
      <c r="E36" s="124" t="s">
        <v>28</v>
      </c>
      <c r="F36" s="128"/>
      <c r="G36" s="14">
        <v>310.62</v>
      </c>
      <c r="H36" s="12">
        <f t="shared" si="2"/>
        <v>0</v>
      </c>
      <c r="I36" s="128"/>
      <c r="J36" s="13">
        <v>291.24</v>
      </c>
      <c r="K36" s="13">
        <f t="shared" si="3"/>
        <v>0</v>
      </c>
      <c r="L36" s="129"/>
      <c r="M36" s="13">
        <v>436.87</v>
      </c>
      <c r="N36" s="13">
        <f t="shared" si="4"/>
        <v>0</v>
      </c>
      <c r="O36" s="107"/>
      <c r="P36" s="107"/>
      <c r="Q36" s="107"/>
      <c r="R36" s="107"/>
      <c r="S36" s="107"/>
      <c r="T36" s="107"/>
      <c r="U36" s="107"/>
      <c r="V36" s="15">
        <f t="shared" si="5"/>
        <v>0</v>
      </c>
      <c r="W36" s="107"/>
      <c r="X36" s="107"/>
      <c r="Y36" s="16" t="s">
        <v>164</v>
      </c>
      <c r="Z36" s="17"/>
      <c r="AA36" s="16"/>
      <c r="AB36" s="16"/>
      <c r="AC36" s="16"/>
      <c r="AD36" s="16"/>
      <c r="AE36" s="16"/>
      <c r="AF36" s="16"/>
      <c r="AG36" s="16"/>
      <c r="AH36" s="16"/>
      <c r="AI36" s="16"/>
      <c r="AJ36" s="16"/>
      <c r="AK36" s="16"/>
      <c r="AL36" s="16"/>
      <c r="AM36" s="16"/>
      <c r="AN36" s="16"/>
      <c r="AO36" s="16"/>
      <c r="AP36" s="16"/>
      <c r="AQ36" s="16"/>
      <c r="AR36" s="16"/>
      <c r="AS36" s="16"/>
      <c r="AT36" s="16"/>
      <c r="AU36" s="16"/>
      <c r="AV36" s="16"/>
      <c r="AW36" s="16"/>
      <c r="AX36" s="16"/>
      <c r="AY36" s="16"/>
      <c r="AZ36" s="16"/>
      <c r="BA36" s="16"/>
      <c r="BB36" s="16"/>
      <c r="BC36" s="16"/>
      <c r="BD36" s="16"/>
      <c r="BE36" s="16"/>
      <c r="BF36" s="16"/>
      <c r="BG36" s="16"/>
      <c r="BH36" s="16"/>
      <c r="BI36" s="16"/>
      <c r="BJ36" s="16"/>
      <c r="BK36" s="16"/>
      <c r="BL36" s="16"/>
      <c r="BM36" s="16"/>
      <c r="BN36" s="16"/>
      <c r="BO36" s="16"/>
      <c r="BP36" s="16"/>
      <c r="BQ36" s="16"/>
      <c r="BR36" s="16"/>
      <c r="BS36" s="16"/>
      <c r="BT36" s="16"/>
    </row>
    <row r="37" spans="1:72" s="106" customFormat="1" ht="15.75" x14ac:dyDescent="0.25">
      <c r="A37" s="235" t="s">
        <v>128</v>
      </c>
      <c r="B37" s="235"/>
      <c r="C37" s="235"/>
      <c r="D37" s="235"/>
      <c r="E37" s="124" t="s">
        <v>28</v>
      </c>
      <c r="F37" s="128"/>
      <c r="G37" s="14"/>
      <c r="H37" s="12">
        <f t="shared" si="2"/>
        <v>0</v>
      </c>
      <c r="I37" s="128"/>
      <c r="J37" s="13">
        <v>0</v>
      </c>
      <c r="K37" s="13">
        <f t="shared" si="3"/>
        <v>0</v>
      </c>
      <c r="L37" s="129"/>
      <c r="M37" s="13">
        <v>0</v>
      </c>
      <c r="N37" s="13">
        <f t="shared" si="4"/>
        <v>0</v>
      </c>
      <c r="O37" s="107"/>
      <c r="P37" s="107"/>
      <c r="Q37" s="107"/>
      <c r="R37" s="107"/>
      <c r="S37" s="107"/>
      <c r="T37" s="108"/>
      <c r="U37" s="107"/>
      <c r="V37" s="15">
        <f t="shared" si="5"/>
        <v>0</v>
      </c>
      <c r="W37" s="107"/>
      <c r="X37" s="107"/>
      <c r="Y37" s="104"/>
      <c r="Z37" s="105"/>
      <c r="AA37" s="104"/>
      <c r="AB37" s="104"/>
      <c r="AC37" s="104"/>
      <c r="AD37" s="104"/>
      <c r="AE37" s="104"/>
      <c r="AF37" s="104"/>
      <c r="AG37" s="104"/>
      <c r="AH37" s="104"/>
      <c r="AI37" s="104"/>
      <c r="AJ37" s="104"/>
      <c r="AK37" s="104"/>
      <c r="AL37" s="104"/>
      <c r="AM37" s="104"/>
      <c r="AN37" s="104"/>
      <c r="AO37" s="104"/>
      <c r="AP37" s="104"/>
      <c r="AQ37" s="104"/>
      <c r="AR37" s="104"/>
      <c r="AS37" s="104"/>
      <c r="AT37" s="104"/>
      <c r="AU37" s="104"/>
      <c r="AV37" s="104"/>
      <c r="AW37" s="104"/>
      <c r="AX37" s="104"/>
      <c r="AY37" s="104"/>
      <c r="AZ37" s="104"/>
      <c r="BA37" s="104"/>
      <c r="BB37" s="104"/>
      <c r="BC37" s="104"/>
      <c r="BD37" s="104"/>
      <c r="BE37" s="104"/>
      <c r="BF37" s="104"/>
      <c r="BG37" s="104"/>
      <c r="BH37" s="104"/>
      <c r="BI37" s="104"/>
      <c r="BJ37" s="104"/>
      <c r="BK37" s="104"/>
      <c r="BL37" s="104"/>
      <c r="BM37" s="104"/>
      <c r="BN37" s="104"/>
      <c r="BO37" s="104"/>
      <c r="BP37" s="104"/>
      <c r="BQ37" s="104"/>
      <c r="BR37" s="104"/>
      <c r="BS37" s="104"/>
      <c r="BT37" s="104"/>
    </row>
    <row r="38" spans="1:72" ht="15.75" x14ac:dyDescent="0.25">
      <c r="A38" s="232" t="s">
        <v>35</v>
      </c>
      <c r="B38" s="233"/>
      <c r="C38" s="233"/>
      <c r="D38" s="234"/>
      <c r="E38" s="124" t="s">
        <v>28</v>
      </c>
      <c r="F38" s="128"/>
      <c r="G38" s="14">
        <v>199.6</v>
      </c>
      <c r="H38" s="14">
        <f>F38*G38</f>
        <v>0</v>
      </c>
      <c r="I38" s="128"/>
      <c r="J38" s="13">
        <v>159.6</v>
      </c>
      <c r="K38" s="13">
        <f t="shared" si="3"/>
        <v>0</v>
      </c>
      <c r="L38" s="129"/>
      <c r="M38" s="13">
        <v>239.4</v>
      </c>
      <c r="N38" s="13">
        <f t="shared" si="4"/>
        <v>0</v>
      </c>
      <c r="O38" s="107"/>
      <c r="P38" s="107"/>
      <c r="Q38" s="107"/>
      <c r="R38" s="107"/>
      <c r="S38" s="107"/>
      <c r="T38" s="108"/>
      <c r="U38" s="107"/>
      <c r="V38" s="15">
        <f t="shared" si="5"/>
        <v>0</v>
      </c>
      <c r="W38" s="107"/>
      <c r="X38" s="107"/>
      <c r="Y38" s="16"/>
      <c r="Z38" s="17"/>
      <c r="AA38" s="16"/>
      <c r="AB38" s="16"/>
      <c r="AC38" s="16"/>
      <c r="AD38" s="16"/>
      <c r="AE38" s="16"/>
      <c r="AF38" s="16"/>
      <c r="AG38" s="16"/>
      <c r="AH38" s="16"/>
      <c r="AI38" s="16"/>
      <c r="AJ38" s="16"/>
      <c r="AK38" s="16"/>
      <c r="AL38" s="16"/>
      <c r="AM38" s="16"/>
      <c r="AN38" s="16"/>
      <c r="AO38" s="16"/>
      <c r="AP38" s="16"/>
      <c r="AQ38" s="16"/>
      <c r="AR38" s="16"/>
      <c r="AS38" s="16"/>
      <c r="AT38" s="16"/>
      <c r="AU38" s="16"/>
      <c r="AV38" s="16"/>
      <c r="AW38" s="16"/>
      <c r="AX38" s="16"/>
      <c r="AY38" s="16"/>
      <c r="AZ38" s="16"/>
      <c r="BA38" s="16"/>
      <c r="BB38" s="16"/>
      <c r="BC38" s="16"/>
      <c r="BD38" s="16"/>
      <c r="BE38" s="16"/>
      <c r="BF38" s="16"/>
      <c r="BG38" s="16"/>
      <c r="BH38" s="16"/>
      <c r="BI38" s="16"/>
      <c r="BJ38" s="16"/>
      <c r="BK38" s="16"/>
      <c r="BL38" s="16"/>
      <c r="BM38" s="16"/>
      <c r="BN38" s="16"/>
      <c r="BO38" s="16"/>
      <c r="BP38" s="16"/>
      <c r="BQ38" s="16"/>
      <c r="BR38" s="16"/>
      <c r="BS38" s="16"/>
      <c r="BT38" s="16"/>
    </row>
    <row r="39" spans="1:72" s="106" customFormat="1" ht="15.75" x14ac:dyDescent="0.25">
      <c r="A39" s="235" t="s">
        <v>129</v>
      </c>
      <c r="B39" s="235"/>
      <c r="C39" s="235"/>
      <c r="D39" s="235"/>
      <c r="E39" s="124" t="s">
        <v>28</v>
      </c>
      <c r="F39" s="128"/>
      <c r="G39" s="14">
        <v>199.6</v>
      </c>
      <c r="H39" s="14">
        <f>F39*G39</f>
        <v>0</v>
      </c>
      <c r="I39" s="128"/>
      <c r="J39" s="13">
        <v>159.6</v>
      </c>
      <c r="K39" s="13">
        <f t="shared" si="3"/>
        <v>0</v>
      </c>
      <c r="L39" s="129"/>
      <c r="M39" s="13">
        <v>239.4</v>
      </c>
      <c r="N39" s="13">
        <f t="shared" si="4"/>
        <v>0</v>
      </c>
      <c r="O39" s="107"/>
      <c r="P39" s="107"/>
      <c r="Q39" s="107"/>
      <c r="R39" s="107"/>
      <c r="S39" s="107"/>
      <c r="T39" s="108"/>
      <c r="U39" s="107"/>
      <c r="V39" s="15">
        <f t="shared" si="5"/>
        <v>0</v>
      </c>
      <c r="W39" s="107"/>
      <c r="X39" s="107"/>
      <c r="Y39" s="104"/>
      <c r="Z39" s="105"/>
      <c r="AA39" s="104"/>
      <c r="AB39" s="104"/>
      <c r="AC39" s="104"/>
      <c r="AD39" s="104"/>
      <c r="AE39" s="104"/>
      <c r="AF39" s="104"/>
      <c r="AG39" s="104"/>
      <c r="AH39" s="104"/>
      <c r="AI39" s="104"/>
      <c r="AJ39" s="104"/>
      <c r="AK39" s="104"/>
      <c r="AL39" s="104"/>
      <c r="AM39" s="104"/>
      <c r="AN39" s="104"/>
      <c r="AO39" s="104"/>
      <c r="AP39" s="104"/>
      <c r="AQ39" s="104"/>
      <c r="AR39" s="104"/>
      <c r="AS39" s="104"/>
      <c r="AT39" s="104"/>
      <c r="AU39" s="104"/>
      <c r="AV39" s="104"/>
      <c r="AW39" s="104"/>
      <c r="AX39" s="104"/>
      <c r="AY39" s="104"/>
      <c r="AZ39" s="104"/>
      <c r="BA39" s="104"/>
      <c r="BB39" s="104"/>
      <c r="BC39" s="104"/>
      <c r="BD39" s="104"/>
      <c r="BE39" s="104"/>
      <c r="BF39" s="104"/>
      <c r="BG39" s="104"/>
      <c r="BH39" s="104"/>
      <c r="BI39" s="104"/>
      <c r="BJ39" s="104"/>
      <c r="BK39" s="104"/>
      <c r="BL39" s="104"/>
      <c r="BM39" s="104"/>
      <c r="BN39" s="104"/>
      <c r="BO39" s="104"/>
      <c r="BP39" s="104"/>
      <c r="BQ39" s="104"/>
      <c r="BR39" s="104"/>
      <c r="BS39" s="104"/>
      <c r="BT39" s="104"/>
    </row>
    <row r="40" spans="1:72" s="100" customFormat="1" ht="15.75" x14ac:dyDescent="0.25">
      <c r="A40" s="235" t="s">
        <v>36</v>
      </c>
      <c r="B40" s="235"/>
      <c r="C40" s="235"/>
      <c r="D40" s="235"/>
      <c r="E40" s="124" t="s">
        <v>28</v>
      </c>
      <c r="F40" s="128"/>
      <c r="G40" s="14">
        <v>199.6</v>
      </c>
      <c r="H40" s="14">
        <f>F40*G40</f>
        <v>0</v>
      </c>
      <c r="I40" s="128"/>
      <c r="J40" s="13">
        <v>159.6</v>
      </c>
      <c r="K40" s="13">
        <f t="shared" si="3"/>
        <v>0</v>
      </c>
      <c r="L40" s="129"/>
      <c r="M40" s="13">
        <v>239.4</v>
      </c>
      <c r="N40" s="13">
        <f t="shared" si="4"/>
        <v>0</v>
      </c>
      <c r="O40" s="107"/>
      <c r="P40" s="107"/>
      <c r="Q40" s="107"/>
      <c r="R40" s="107"/>
      <c r="S40" s="107"/>
      <c r="T40" s="108"/>
      <c r="U40" s="107"/>
      <c r="V40" s="15">
        <f t="shared" si="5"/>
        <v>0</v>
      </c>
      <c r="W40" s="107"/>
      <c r="X40" s="107"/>
      <c r="Y40" s="16"/>
      <c r="Z40" s="17"/>
      <c r="AA40" s="16"/>
      <c r="AB40" s="16"/>
      <c r="AC40" s="16"/>
      <c r="AD40" s="16"/>
      <c r="AE40" s="16"/>
      <c r="AF40" s="16"/>
      <c r="AG40" s="16"/>
      <c r="AH40" s="16"/>
      <c r="AI40" s="16"/>
      <c r="AJ40" s="16"/>
      <c r="AK40" s="16"/>
      <c r="AL40" s="16"/>
      <c r="AM40" s="16"/>
      <c r="AN40" s="16"/>
      <c r="AO40" s="16"/>
      <c r="AP40" s="16"/>
      <c r="AQ40" s="16"/>
      <c r="AR40" s="16"/>
      <c r="AS40" s="16"/>
      <c r="AT40" s="16"/>
      <c r="AU40" s="16"/>
      <c r="AV40" s="16"/>
      <c r="AW40" s="16"/>
      <c r="AX40" s="16"/>
      <c r="AY40" s="16"/>
      <c r="AZ40" s="16"/>
      <c r="BA40" s="16"/>
      <c r="BB40" s="16"/>
      <c r="BC40" s="16"/>
      <c r="BD40" s="16"/>
      <c r="BE40" s="16"/>
      <c r="BF40" s="16"/>
      <c r="BG40" s="16"/>
      <c r="BH40" s="16"/>
      <c r="BI40" s="16"/>
      <c r="BJ40" s="16"/>
      <c r="BK40" s="16"/>
      <c r="BL40" s="16"/>
      <c r="BM40" s="16"/>
      <c r="BN40" s="16"/>
      <c r="BO40" s="16"/>
      <c r="BP40" s="16"/>
      <c r="BQ40" s="16"/>
      <c r="BR40" s="16"/>
      <c r="BS40" s="16"/>
      <c r="BT40" s="16"/>
    </row>
    <row r="41" spans="1:72" s="100" customFormat="1" ht="15.75" x14ac:dyDescent="0.25">
      <c r="A41" s="235" t="s">
        <v>37</v>
      </c>
      <c r="B41" s="235"/>
      <c r="C41" s="235"/>
      <c r="D41" s="235"/>
      <c r="E41" s="124" t="s">
        <v>28</v>
      </c>
      <c r="F41" s="128"/>
      <c r="G41" s="14">
        <v>211.15</v>
      </c>
      <c r="H41" s="12">
        <f t="shared" si="2"/>
        <v>0</v>
      </c>
      <c r="I41" s="128"/>
      <c r="J41" s="13">
        <v>173.29</v>
      </c>
      <c r="K41" s="13">
        <f t="shared" si="3"/>
        <v>0</v>
      </c>
      <c r="L41" s="129"/>
      <c r="M41" s="13">
        <v>259.94</v>
      </c>
      <c r="N41" s="13">
        <f t="shared" si="4"/>
        <v>0</v>
      </c>
      <c r="O41" s="107"/>
      <c r="P41" s="107"/>
      <c r="Q41" s="107"/>
      <c r="R41" s="107"/>
      <c r="S41" s="107"/>
      <c r="T41" s="108"/>
      <c r="U41" s="107"/>
      <c r="V41" s="15">
        <f t="shared" si="5"/>
        <v>0</v>
      </c>
      <c r="W41" s="107"/>
      <c r="X41" s="107"/>
      <c r="Y41" s="16" t="s">
        <v>166</v>
      </c>
      <c r="Z41" s="17"/>
      <c r="AA41" s="16"/>
      <c r="AB41" s="16"/>
      <c r="AC41" s="16"/>
      <c r="AD41" s="16"/>
      <c r="AE41" s="16"/>
      <c r="AF41" s="16"/>
      <c r="AG41" s="16"/>
      <c r="AH41" s="16"/>
      <c r="AI41" s="16"/>
      <c r="AJ41" s="16"/>
      <c r="AK41" s="16"/>
      <c r="AL41" s="16"/>
      <c r="AM41" s="16"/>
      <c r="AN41" s="16"/>
      <c r="AO41" s="16"/>
      <c r="AP41" s="16"/>
      <c r="AQ41" s="16"/>
      <c r="AR41" s="16"/>
      <c r="AS41" s="16"/>
      <c r="AT41" s="16"/>
      <c r="AU41" s="16"/>
      <c r="AV41" s="16"/>
      <c r="AW41" s="16"/>
      <c r="AX41" s="16"/>
      <c r="AY41" s="16"/>
      <c r="AZ41" s="16"/>
      <c r="BA41" s="16"/>
      <c r="BB41" s="16"/>
      <c r="BC41" s="16"/>
      <c r="BD41" s="16"/>
      <c r="BE41" s="16"/>
      <c r="BF41" s="16"/>
      <c r="BG41" s="16"/>
      <c r="BH41" s="16"/>
      <c r="BI41" s="16"/>
      <c r="BJ41" s="16"/>
      <c r="BK41" s="16"/>
      <c r="BL41" s="16"/>
      <c r="BM41" s="16"/>
      <c r="BN41" s="16"/>
      <c r="BO41" s="16"/>
      <c r="BP41" s="16"/>
      <c r="BQ41" s="16"/>
      <c r="BR41" s="16"/>
      <c r="BS41" s="16"/>
      <c r="BT41" s="16"/>
    </row>
    <row r="42" spans="1:72" ht="15.75" x14ac:dyDescent="0.25">
      <c r="A42" s="235" t="s">
        <v>38</v>
      </c>
      <c r="B42" s="235"/>
      <c r="C42" s="235"/>
      <c r="D42" s="235"/>
      <c r="E42" s="124" t="s">
        <v>28</v>
      </c>
      <c r="F42" s="128"/>
      <c r="G42" s="14">
        <v>199.6</v>
      </c>
      <c r="H42" s="12">
        <f>F42*G42</f>
        <v>0</v>
      </c>
      <c r="I42" s="128"/>
      <c r="J42" s="13">
        <v>159.6</v>
      </c>
      <c r="K42" s="13">
        <f t="shared" si="3"/>
        <v>0</v>
      </c>
      <c r="L42" s="129"/>
      <c r="M42" s="13">
        <v>239.4</v>
      </c>
      <c r="N42" s="13">
        <f t="shared" si="4"/>
        <v>0</v>
      </c>
      <c r="O42" s="107"/>
      <c r="P42" s="107"/>
      <c r="Q42" s="107"/>
      <c r="R42" s="107"/>
      <c r="S42" s="107"/>
      <c r="T42" s="108"/>
      <c r="U42" s="107"/>
      <c r="V42" s="15">
        <f t="shared" si="5"/>
        <v>0</v>
      </c>
      <c r="W42" s="107"/>
      <c r="X42" s="107"/>
      <c r="Y42" s="16" t="s">
        <v>165</v>
      </c>
      <c r="Z42" s="17"/>
      <c r="AA42" s="16"/>
      <c r="AB42" s="16"/>
      <c r="AC42" s="16"/>
      <c r="AD42" s="16"/>
      <c r="AE42" s="16"/>
      <c r="AF42" s="16"/>
      <c r="AG42" s="16"/>
      <c r="AH42" s="16"/>
      <c r="AI42" s="16"/>
      <c r="AJ42" s="16"/>
      <c r="AK42" s="16"/>
      <c r="AL42" s="16"/>
      <c r="AM42" s="16"/>
      <c r="AN42" s="16"/>
      <c r="AO42" s="16"/>
      <c r="AP42" s="16"/>
      <c r="AQ42" s="16"/>
      <c r="AR42" s="16"/>
      <c r="AS42" s="16"/>
      <c r="AT42" s="16"/>
      <c r="AU42" s="16"/>
      <c r="AV42" s="16"/>
      <c r="AW42" s="16"/>
      <c r="AX42" s="16"/>
      <c r="AY42" s="16"/>
      <c r="AZ42" s="16"/>
      <c r="BA42" s="16"/>
      <c r="BB42" s="16"/>
      <c r="BC42" s="16"/>
      <c r="BD42" s="16"/>
      <c r="BE42" s="16"/>
      <c r="BF42" s="16"/>
      <c r="BG42" s="16"/>
      <c r="BH42" s="16"/>
      <c r="BI42" s="16"/>
      <c r="BJ42" s="16"/>
      <c r="BK42" s="16"/>
      <c r="BL42" s="16"/>
      <c r="BM42" s="16"/>
      <c r="BN42" s="16"/>
      <c r="BO42" s="16"/>
      <c r="BP42" s="16"/>
      <c r="BQ42" s="16"/>
      <c r="BR42" s="16"/>
      <c r="BS42" s="16"/>
      <c r="BT42" s="16"/>
    </row>
    <row r="43" spans="1:72" ht="15.75" x14ac:dyDescent="0.25">
      <c r="A43" s="235" t="s">
        <v>39</v>
      </c>
      <c r="B43" s="235"/>
      <c r="C43" s="235"/>
      <c r="D43" s="235"/>
      <c r="E43" s="124" t="s">
        <v>28</v>
      </c>
      <c r="F43" s="128"/>
      <c r="G43" s="14">
        <v>187.81</v>
      </c>
      <c r="H43" s="14">
        <f>F43*G43</f>
        <v>0</v>
      </c>
      <c r="I43" s="128"/>
      <c r="J43" s="13">
        <v>145.62</v>
      </c>
      <c r="K43" s="13">
        <f t="shared" si="3"/>
        <v>0</v>
      </c>
      <c r="L43" s="129"/>
      <c r="M43" s="13">
        <v>218.43</v>
      </c>
      <c r="N43" s="13">
        <f t="shared" si="4"/>
        <v>0</v>
      </c>
      <c r="O43" s="107"/>
      <c r="P43" s="107"/>
      <c r="Q43" s="107"/>
      <c r="R43" s="107"/>
      <c r="S43" s="107"/>
      <c r="T43" s="108"/>
      <c r="U43" s="107"/>
      <c r="V43" s="15">
        <f t="shared" si="5"/>
        <v>0</v>
      </c>
      <c r="W43" s="107"/>
      <c r="X43" s="107"/>
      <c r="Y43" s="16"/>
      <c r="Z43" s="17"/>
      <c r="AA43" s="16"/>
      <c r="AB43" s="16"/>
      <c r="AC43" s="16"/>
      <c r="AD43" s="16"/>
      <c r="AE43" s="16"/>
      <c r="AF43" s="16"/>
      <c r="AG43" s="16"/>
      <c r="AH43" s="16"/>
      <c r="AI43" s="16"/>
      <c r="AJ43" s="16"/>
      <c r="AK43" s="16"/>
      <c r="AL43" s="16"/>
      <c r="AM43" s="16"/>
      <c r="AN43" s="16"/>
      <c r="AO43" s="16"/>
      <c r="AP43" s="16"/>
      <c r="AQ43" s="16"/>
      <c r="AR43" s="16"/>
      <c r="AS43" s="16"/>
      <c r="AT43" s="16"/>
      <c r="AU43" s="16"/>
      <c r="AV43" s="16"/>
      <c r="AW43" s="16"/>
      <c r="AX43" s="16"/>
      <c r="AY43" s="16"/>
      <c r="AZ43" s="16"/>
      <c r="BA43" s="16"/>
      <c r="BB43" s="16"/>
      <c r="BC43" s="16"/>
      <c r="BD43" s="16"/>
      <c r="BE43" s="16"/>
      <c r="BF43" s="16"/>
      <c r="BG43" s="16"/>
      <c r="BH43" s="16"/>
      <c r="BI43" s="16"/>
      <c r="BJ43" s="16"/>
      <c r="BK43" s="16"/>
      <c r="BL43" s="16"/>
      <c r="BM43" s="16"/>
      <c r="BN43" s="16"/>
      <c r="BO43" s="16"/>
      <c r="BP43" s="16"/>
      <c r="BQ43" s="16"/>
      <c r="BR43" s="16"/>
      <c r="BS43" s="16"/>
      <c r="BT43" s="16"/>
    </row>
    <row r="44" spans="1:72" s="100" customFormat="1" ht="15.75" x14ac:dyDescent="0.25">
      <c r="A44" s="232" t="s">
        <v>40</v>
      </c>
      <c r="B44" s="233"/>
      <c r="C44" s="233"/>
      <c r="D44" s="234"/>
      <c r="E44" s="124" t="s">
        <v>28</v>
      </c>
      <c r="F44" s="128"/>
      <c r="G44" s="14"/>
      <c r="H44" s="14">
        <f t="shared" si="2"/>
        <v>0</v>
      </c>
      <c r="I44" s="128"/>
      <c r="J44" s="13">
        <v>0</v>
      </c>
      <c r="K44" s="13">
        <f t="shared" si="3"/>
        <v>0</v>
      </c>
      <c r="L44" s="129"/>
      <c r="M44" s="13"/>
      <c r="N44" s="13">
        <f t="shared" si="4"/>
        <v>0</v>
      </c>
      <c r="O44" s="107"/>
      <c r="P44" s="107"/>
      <c r="Q44" s="107"/>
      <c r="R44" s="107"/>
      <c r="S44" s="107"/>
      <c r="T44" s="108"/>
      <c r="U44" s="107"/>
      <c r="V44" s="15">
        <f t="shared" si="5"/>
        <v>0</v>
      </c>
      <c r="W44" s="107"/>
      <c r="X44" s="107"/>
      <c r="Y44" s="3"/>
      <c r="Z44" s="17"/>
      <c r="AA44" s="16"/>
      <c r="AB44" s="16"/>
      <c r="AC44" s="16"/>
      <c r="AD44" s="16"/>
      <c r="AE44" s="16"/>
      <c r="AF44" s="16"/>
      <c r="AG44" s="16"/>
      <c r="AH44" s="16"/>
      <c r="AI44" s="16"/>
      <c r="AJ44" s="16"/>
      <c r="AK44" s="16"/>
      <c r="AL44" s="16"/>
      <c r="AM44" s="16"/>
      <c r="AN44" s="16"/>
      <c r="AO44" s="16"/>
      <c r="AP44" s="16"/>
      <c r="AQ44" s="16"/>
      <c r="AR44" s="16"/>
      <c r="AS44" s="16"/>
      <c r="AT44" s="16"/>
      <c r="AU44" s="16"/>
      <c r="AV44" s="16"/>
      <c r="AW44" s="16"/>
      <c r="AX44" s="16"/>
      <c r="AY44" s="16"/>
      <c r="AZ44" s="16"/>
      <c r="BA44" s="16"/>
      <c r="BB44" s="16"/>
      <c r="BC44" s="16"/>
      <c r="BD44" s="16"/>
      <c r="BE44" s="16"/>
      <c r="BF44" s="16"/>
      <c r="BG44" s="16"/>
      <c r="BH44" s="16"/>
      <c r="BI44" s="16"/>
      <c r="BJ44" s="16"/>
      <c r="BK44" s="16"/>
      <c r="BL44" s="16"/>
      <c r="BM44" s="16"/>
      <c r="BN44" s="16"/>
      <c r="BO44" s="16"/>
      <c r="BP44" s="16"/>
      <c r="BQ44" s="16"/>
      <c r="BR44" s="16"/>
      <c r="BS44" s="16"/>
      <c r="BT44" s="16"/>
    </row>
    <row r="45" spans="1:72" s="100" customFormat="1" ht="15.75" x14ac:dyDescent="0.25">
      <c r="A45" s="232" t="s">
        <v>41</v>
      </c>
      <c r="B45" s="233"/>
      <c r="C45" s="233"/>
      <c r="D45" s="234"/>
      <c r="E45" s="124" t="s">
        <v>28</v>
      </c>
      <c r="F45" s="128"/>
      <c r="G45" s="14">
        <v>187.81</v>
      </c>
      <c r="H45" s="14">
        <f>F45*G45</f>
        <v>0</v>
      </c>
      <c r="I45" s="128"/>
      <c r="J45" s="13">
        <v>145.62</v>
      </c>
      <c r="K45" s="13">
        <f t="shared" si="3"/>
        <v>0</v>
      </c>
      <c r="L45" s="129"/>
      <c r="M45" s="13">
        <v>218.43</v>
      </c>
      <c r="N45" s="13">
        <f t="shared" si="4"/>
        <v>0</v>
      </c>
      <c r="O45" s="107"/>
      <c r="P45" s="107"/>
      <c r="Q45" s="107"/>
      <c r="R45" s="107"/>
      <c r="S45" s="107"/>
      <c r="T45" s="107"/>
      <c r="U45" s="107"/>
      <c r="V45" s="15">
        <f t="shared" si="5"/>
        <v>0</v>
      </c>
      <c r="W45" s="107"/>
      <c r="X45" s="107"/>
      <c r="Y45" s="16" t="s">
        <v>167</v>
      </c>
      <c r="Z45" s="17"/>
      <c r="AA45" s="16"/>
      <c r="AB45" s="16"/>
      <c r="AC45" s="16"/>
      <c r="AD45" s="16"/>
      <c r="AE45" s="16"/>
      <c r="AF45" s="16"/>
      <c r="AG45" s="16"/>
      <c r="AH45" s="16"/>
      <c r="AI45" s="16"/>
      <c r="AJ45" s="16"/>
      <c r="AK45" s="16"/>
      <c r="AL45" s="16"/>
      <c r="AM45" s="16"/>
      <c r="AN45" s="16"/>
      <c r="AO45" s="16"/>
      <c r="AP45" s="16"/>
      <c r="AQ45" s="16"/>
      <c r="AR45" s="16"/>
      <c r="AS45" s="16"/>
      <c r="AT45" s="16"/>
      <c r="AU45" s="16"/>
      <c r="AV45" s="16"/>
      <c r="AW45" s="16"/>
      <c r="AX45" s="16"/>
      <c r="AY45" s="16"/>
      <c r="AZ45" s="16"/>
      <c r="BA45" s="16"/>
      <c r="BB45" s="16"/>
      <c r="BC45" s="16"/>
      <c r="BD45" s="16"/>
      <c r="BE45" s="16"/>
      <c r="BF45" s="16"/>
      <c r="BG45" s="16"/>
      <c r="BH45" s="16"/>
      <c r="BI45" s="16"/>
      <c r="BJ45" s="16"/>
      <c r="BK45" s="16"/>
      <c r="BL45" s="16"/>
      <c r="BM45" s="16"/>
      <c r="BN45" s="16"/>
      <c r="BO45" s="16"/>
      <c r="BP45" s="16"/>
      <c r="BQ45" s="16"/>
      <c r="BR45" s="16"/>
      <c r="BS45" s="16"/>
      <c r="BT45" s="16"/>
    </row>
    <row r="46" spans="1:72" ht="15.75" x14ac:dyDescent="0.25">
      <c r="A46" s="232" t="s">
        <v>42</v>
      </c>
      <c r="B46" s="233"/>
      <c r="C46" s="233"/>
      <c r="D46" s="234"/>
      <c r="E46" s="124" t="s">
        <v>28</v>
      </c>
      <c r="F46" s="128"/>
      <c r="G46" s="14">
        <v>94.81</v>
      </c>
      <c r="H46" s="14">
        <f>F46*G46</f>
        <v>0</v>
      </c>
      <c r="I46" s="128"/>
      <c r="J46" s="13">
        <v>145.62</v>
      </c>
      <c r="K46" s="13">
        <f t="shared" si="3"/>
        <v>0</v>
      </c>
      <c r="L46" s="129"/>
      <c r="M46" s="13">
        <v>218.43</v>
      </c>
      <c r="N46" s="13">
        <f t="shared" si="4"/>
        <v>0</v>
      </c>
      <c r="O46" s="109"/>
      <c r="P46" s="109"/>
      <c r="Q46" s="109"/>
      <c r="R46" s="109"/>
      <c r="S46" s="109"/>
      <c r="T46" s="109"/>
      <c r="U46" s="107"/>
      <c r="V46" s="15">
        <f t="shared" si="5"/>
        <v>0</v>
      </c>
      <c r="W46" s="107"/>
      <c r="X46" s="107"/>
      <c r="Y46" s="16"/>
      <c r="Z46" s="17"/>
      <c r="AA46" s="16"/>
      <c r="AB46" s="16"/>
      <c r="AC46" s="16"/>
      <c r="AD46" s="16"/>
      <c r="AE46" s="16"/>
      <c r="AF46" s="16"/>
      <c r="AG46" s="16"/>
      <c r="AH46" s="16"/>
      <c r="AI46" s="16"/>
      <c r="AJ46" s="16"/>
      <c r="AK46" s="16"/>
      <c r="AL46" s="16"/>
      <c r="AM46" s="16"/>
      <c r="AN46" s="16"/>
      <c r="AO46" s="16"/>
      <c r="AP46" s="16"/>
      <c r="AQ46" s="16"/>
      <c r="AR46" s="16"/>
      <c r="AS46" s="16"/>
      <c r="AT46" s="16"/>
      <c r="AU46" s="16"/>
      <c r="AV46" s="16"/>
      <c r="AW46" s="16"/>
      <c r="AX46" s="16"/>
      <c r="AY46" s="16"/>
      <c r="AZ46" s="16"/>
      <c r="BA46" s="16"/>
      <c r="BB46" s="16"/>
      <c r="BC46" s="16"/>
      <c r="BD46" s="16"/>
      <c r="BE46" s="16"/>
      <c r="BF46" s="16"/>
      <c r="BG46" s="16"/>
      <c r="BH46" s="16"/>
      <c r="BI46" s="16"/>
      <c r="BJ46" s="16"/>
      <c r="BK46" s="16"/>
      <c r="BL46" s="16"/>
      <c r="BM46" s="16"/>
      <c r="BN46" s="16"/>
      <c r="BO46" s="16"/>
      <c r="BP46" s="16"/>
      <c r="BQ46" s="16"/>
      <c r="BR46" s="16"/>
      <c r="BS46" s="16"/>
      <c r="BT46" s="16"/>
    </row>
    <row r="47" spans="1:72" ht="15.75" x14ac:dyDescent="0.25">
      <c r="A47" s="166" t="s">
        <v>169</v>
      </c>
      <c r="B47" s="167"/>
      <c r="C47" s="167"/>
      <c r="D47" s="168"/>
      <c r="E47" s="124" t="s">
        <v>28</v>
      </c>
      <c r="F47" s="128"/>
      <c r="G47" s="12">
        <v>243.45</v>
      </c>
      <c r="H47" s="12">
        <f>F47*G47</f>
        <v>0</v>
      </c>
      <c r="I47" s="128"/>
      <c r="J47" s="13">
        <v>211.59</v>
      </c>
      <c r="K47" s="13">
        <f>I47*J47</f>
        <v>0</v>
      </c>
      <c r="L47" s="129"/>
      <c r="M47" s="13">
        <v>317.39</v>
      </c>
      <c r="N47" s="13">
        <f>L47*M47</f>
        <v>0</v>
      </c>
      <c r="O47" s="109"/>
      <c r="P47" s="109"/>
      <c r="Q47" s="109"/>
      <c r="R47" s="109"/>
      <c r="S47" s="109"/>
      <c r="T47" s="109"/>
      <c r="U47" s="107"/>
      <c r="V47" s="15">
        <v>0</v>
      </c>
      <c r="W47" s="107"/>
      <c r="X47" s="107"/>
      <c r="Y47" s="16" t="s">
        <v>170</v>
      </c>
      <c r="Z47" s="17"/>
      <c r="AA47" s="16"/>
      <c r="AB47" s="16"/>
      <c r="AC47" s="16"/>
      <c r="AD47" s="16"/>
      <c r="AE47" s="16"/>
      <c r="AF47" s="16"/>
      <c r="AG47" s="16"/>
      <c r="AH47" s="16"/>
      <c r="AI47" s="16"/>
      <c r="AJ47" s="16"/>
      <c r="AK47" s="16"/>
      <c r="AL47" s="16"/>
      <c r="AM47" s="16"/>
      <c r="AN47" s="16"/>
      <c r="AO47" s="16"/>
      <c r="AP47" s="16"/>
      <c r="AQ47" s="16"/>
      <c r="AR47" s="16"/>
      <c r="AS47" s="16"/>
      <c r="AT47" s="16"/>
      <c r="AU47" s="16"/>
      <c r="AV47" s="16"/>
      <c r="AW47" s="16"/>
      <c r="AX47" s="16"/>
      <c r="AY47" s="16"/>
      <c r="AZ47" s="16"/>
      <c r="BA47" s="16"/>
      <c r="BB47" s="16"/>
      <c r="BC47" s="16"/>
      <c r="BD47" s="16"/>
      <c r="BE47" s="16"/>
      <c r="BF47" s="16"/>
      <c r="BG47" s="16"/>
      <c r="BH47" s="16"/>
      <c r="BI47" s="16"/>
      <c r="BJ47" s="16"/>
      <c r="BK47" s="16"/>
      <c r="BL47" s="16"/>
      <c r="BM47" s="16"/>
      <c r="BN47" s="16"/>
      <c r="BO47" s="16"/>
      <c r="BP47" s="16"/>
      <c r="BQ47" s="16"/>
      <c r="BR47" s="16"/>
      <c r="BS47" s="16"/>
      <c r="BT47" s="16"/>
    </row>
    <row r="48" spans="1:72" ht="15.75" x14ac:dyDescent="0.25">
      <c r="A48" s="235" t="s">
        <v>27</v>
      </c>
      <c r="B48" s="235"/>
      <c r="C48" s="235"/>
      <c r="D48" s="235"/>
      <c r="E48" s="124" t="s">
        <v>28</v>
      </c>
      <c r="F48" s="128"/>
      <c r="G48" s="12">
        <v>339.75</v>
      </c>
      <c r="H48" s="12">
        <f t="shared" ref="H48:H53" si="6">F48*G48</f>
        <v>0</v>
      </c>
      <c r="I48" s="128"/>
      <c r="J48" s="13">
        <v>325.79000000000002</v>
      </c>
      <c r="K48" s="13">
        <f t="shared" si="3"/>
        <v>0</v>
      </c>
      <c r="L48" s="129"/>
      <c r="M48" s="13">
        <v>488.68</v>
      </c>
      <c r="N48" s="13">
        <f t="shared" si="4"/>
        <v>0</v>
      </c>
      <c r="O48" s="107"/>
      <c r="P48" s="107"/>
      <c r="Q48" s="107"/>
      <c r="R48" s="107"/>
      <c r="S48" s="107"/>
      <c r="T48" s="107"/>
      <c r="U48" s="107"/>
      <c r="V48" s="15">
        <f>+O48+P48+Q48+R48+S48+T48+U48-W48-X48</f>
        <v>0</v>
      </c>
      <c r="W48" s="107"/>
      <c r="X48" s="107"/>
      <c r="Y48" s="16"/>
      <c r="Z48" s="17"/>
      <c r="AA48" s="16"/>
      <c r="AB48" s="16"/>
      <c r="AC48" s="16"/>
      <c r="AD48" s="16"/>
      <c r="AE48" s="16"/>
      <c r="AF48" s="16"/>
      <c r="AG48" s="16"/>
      <c r="AH48" s="16"/>
      <c r="AI48" s="16"/>
      <c r="AJ48" s="16"/>
      <c r="AK48" s="16"/>
      <c r="AL48" s="16"/>
      <c r="AM48" s="16"/>
      <c r="AN48" s="16"/>
      <c r="AO48" s="16"/>
      <c r="AP48" s="16"/>
      <c r="AQ48" s="16"/>
      <c r="AR48" s="16"/>
      <c r="AS48" s="16"/>
      <c r="AT48" s="16"/>
      <c r="AU48" s="16"/>
      <c r="AV48" s="16"/>
      <c r="AW48" s="16"/>
      <c r="AX48" s="16"/>
      <c r="AY48" s="16"/>
      <c r="AZ48" s="16"/>
      <c r="BA48" s="16"/>
      <c r="BB48" s="16"/>
      <c r="BC48" s="16"/>
      <c r="BD48" s="16"/>
      <c r="BE48" s="16"/>
      <c r="BF48" s="16"/>
      <c r="BG48" s="16"/>
      <c r="BH48" s="16"/>
      <c r="BI48" s="16"/>
      <c r="BJ48" s="16"/>
      <c r="BK48" s="16"/>
      <c r="BL48" s="16"/>
      <c r="BM48" s="16"/>
      <c r="BN48" s="16"/>
      <c r="BO48" s="16"/>
      <c r="BP48" s="16"/>
      <c r="BQ48" s="16"/>
      <c r="BR48" s="16"/>
      <c r="BS48" s="16"/>
      <c r="BT48" s="16"/>
    </row>
    <row r="49" spans="1:72" ht="15.75" x14ac:dyDescent="0.25">
      <c r="A49" s="235" t="s">
        <v>29</v>
      </c>
      <c r="B49" s="235"/>
      <c r="C49" s="235"/>
      <c r="D49" s="235"/>
      <c r="E49" s="124" t="s">
        <v>28</v>
      </c>
      <c r="F49" s="128"/>
      <c r="G49" s="12">
        <v>339.75</v>
      </c>
      <c r="H49" s="12">
        <f t="shared" si="6"/>
        <v>0</v>
      </c>
      <c r="I49" s="128"/>
      <c r="J49" s="13">
        <v>325.79000000000002</v>
      </c>
      <c r="K49" s="13">
        <f t="shared" si="3"/>
        <v>0</v>
      </c>
      <c r="L49" s="129"/>
      <c r="M49" s="13">
        <v>488.68</v>
      </c>
      <c r="N49" s="13">
        <f t="shared" si="4"/>
        <v>0</v>
      </c>
      <c r="O49" s="107"/>
      <c r="P49" s="107"/>
      <c r="Q49" s="107"/>
      <c r="R49" s="107"/>
      <c r="S49" s="107"/>
      <c r="T49" s="107"/>
      <c r="U49" s="107"/>
      <c r="V49" s="15">
        <f>+O49+P49+Q49+R49+S49+T49+U49-W49-X49</f>
        <v>0</v>
      </c>
      <c r="W49" s="107"/>
      <c r="X49" s="107"/>
      <c r="Y49" s="16"/>
      <c r="Z49" s="17"/>
      <c r="AA49" s="16"/>
      <c r="AB49" s="16"/>
      <c r="AC49" s="16"/>
      <c r="AD49" s="16"/>
      <c r="AE49" s="16"/>
      <c r="AF49" s="16"/>
      <c r="AG49" s="16"/>
      <c r="AH49" s="16"/>
      <c r="AI49" s="16"/>
      <c r="AJ49" s="16"/>
      <c r="AK49" s="16"/>
      <c r="AL49" s="16"/>
      <c r="AM49" s="16"/>
      <c r="AN49" s="16"/>
      <c r="AO49" s="16"/>
      <c r="AP49" s="16"/>
      <c r="AQ49" s="16"/>
      <c r="AR49" s="16"/>
      <c r="AS49" s="16"/>
      <c r="AT49" s="16"/>
      <c r="AU49" s="16"/>
      <c r="AV49" s="16"/>
      <c r="AW49" s="16"/>
      <c r="AX49" s="16"/>
      <c r="AY49" s="16"/>
      <c r="AZ49" s="16"/>
      <c r="BA49" s="16"/>
      <c r="BB49" s="16"/>
      <c r="BC49" s="16"/>
      <c r="BD49" s="16"/>
      <c r="BE49" s="16"/>
      <c r="BF49" s="16"/>
      <c r="BG49" s="16"/>
      <c r="BH49" s="16"/>
      <c r="BI49" s="16"/>
      <c r="BJ49" s="16"/>
      <c r="BK49" s="16"/>
      <c r="BL49" s="16"/>
      <c r="BM49" s="16"/>
      <c r="BN49" s="16"/>
      <c r="BO49" s="16"/>
      <c r="BP49" s="16"/>
      <c r="BQ49" s="16"/>
      <c r="BR49" s="16"/>
      <c r="BS49" s="16"/>
      <c r="BT49" s="16"/>
    </row>
    <row r="50" spans="1:72" ht="15.75" x14ac:dyDescent="0.25">
      <c r="A50" s="232" t="s">
        <v>43</v>
      </c>
      <c r="B50" s="233"/>
      <c r="C50" s="233"/>
      <c r="D50" s="234"/>
      <c r="E50" s="124" t="s">
        <v>28</v>
      </c>
      <c r="F50" s="128"/>
      <c r="G50" s="12">
        <v>339.75</v>
      </c>
      <c r="H50" s="12">
        <f t="shared" si="6"/>
        <v>0</v>
      </c>
      <c r="I50" s="128"/>
      <c r="J50" s="13">
        <v>325.79000000000002</v>
      </c>
      <c r="K50" s="13">
        <f t="shared" si="3"/>
        <v>0</v>
      </c>
      <c r="L50" s="129"/>
      <c r="M50" s="13">
        <v>488.68</v>
      </c>
      <c r="N50" s="13">
        <f t="shared" si="4"/>
        <v>0</v>
      </c>
      <c r="O50" s="107"/>
      <c r="P50" s="107"/>
      <c r="Q50" s="107"/>
      <c r="R50" s="107"/>
      <c r="S50" s="107"/>
      <c r="T50" s="107"/>
      <c r="U50" s="107"/>
      <c r="V50" s="15">
        <f t="shared" si="5"/>
        <v>0</v>
      </c>
      <c r="W50" s="107"/>
      <c r="X50" s="107"/>
      <c r="Y50" s="16"/>
      <c r="Z50" s="17"/>
      <c r="AA50" s="16"/>
      <c r="AB50" s="16"/>
      <c r="AC50" s="16"/>
      <c r="AD50" s="16"/>
      <c r="AE50" s="16"/>
      <c r="AF50" s="16"/>
      <c r="AG50" s="16"/>
      <c r="AH50" s="16"/>
      <c r="AI50" s="16"/>
      <c r="AJ50" s="16"/>
      <c r="AK50" s="16"/>
      <c r="AL50" s="16"/>
      <c r="AM50" s="16"/>
      <c r="AN50" s="16"/>
      <c r="AO50" s="16"/>
      <c r="AP50" s="16"/>
      <c r="AQ50" s="16"/>
      <c r="AR50" s="16"/>
      <c r="AS50" s="16"/>
      <c r="AT50" s="16"/>
      <c r="AU50" s="16"/>
      <c r="AV50" s="16"/>
      <c r="AW50" s="16"/>
      <c r="AX50" s="16"/>
      <c r="AY50" s="16"/>
      <c r="AZ50" s="16"/>
      <c r="BA50" s="16"/>
      <c r="BB50" s="16"/>
      <c r="BC50" s="16"/>
      <c r="BD50" s="16"/>
      <c r="BE50" s="16"/>
      <c r="BF50" s="16"/>
      <c r="BG50" s="16"/>
      <c r="BH50" s="16"/>
      <c r="BI50" s="16"/>
      <c r="BJ50" s="16"/>
      <c r="BK50" s="16"/>
      <c r="BL50" s="16"/>
      <c r="BM50" s="16"/>
      <c r="BN50" s="16"/>
      <c r="BO50" s="16"/>
      <c r="BP50" s="16"/>
      <c r="BQ50" s="16"/>
      <c r="BR50" s="16"/>
      <c r="BS50" s="16"/>
      <c r="BT50" s="16"/>
    </row>
    <row r="51" spans="1:72" ht="15.75" x14ac:dyDescent="0.25">
      <c r="A51" s="232" t="s">
        <v>44</v>
      </c>
      <c r="B51" s="233"/>
      <c r="C51" s="233"/>
      <c r="D51" s="234"/>
      <c r="E51" s="124" t="s">
        <v>28</v>
      </c>
      <c r="F51" s="128"/>
      <c r="G51" s="12">
        <v>339.75</v>
      </c>
      <c r="H51" s="12">
        <f t="shared" si="6"/>
        <v>0</v>
      </c>
      <c r="I51" s="128"/>
      <c r="J51" s="13">
        <v>325.79000000000002</v>
      </c>
      <c r="K51" s="13">
        <f t="shared" si="3"/>
        <v>0</v>
      </c>
      <c r="L51" s="129"/>
      <c r="M51" s="13">
        <v>488.68</v>
      </c>
      <c r="N51" s="13">
        <f t="shared" si="4"/>
        <v>0</v>
      </c>
      <c r="O51" s="107"/>
      <c r="P51" s="107"/>
      <c r="Q51" s="107"/>
      <c r="R51" s="107"/>
      <c r="S51" s="107"/>
      <c r="T51" s="107"/>
      <c r="U51" s="107"/>
      <c r="V51" s="15">
        <f t="shared" si="5"/>
        <v>0</v>
      </c>
      <c r="W51" s="107"/>
      <c r="X51" s="107"/>
      <c r="Y51" s="1"/>
      <c r="Z51" s="120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  <c r="AX51" s="1"/>
      <c r="AY51" s="1"/>
      <c r="AZ51" s="1"/>
      <c r="BA51" s="1"/>
      <c r="BB51" s="1"/>
      <c r="BC51" s="1"/>
      <c r="BD51" s="1"/>
      <c r="BE51" s="1"/>
      <c r="BF51" s="1"/>
      <c r="BG51" s="1"/>
      <c r="BH51" s="1"/>
      <c r="BI51" s="1"/>
      <c r="BJ51" s="1"/>
      <c r="BK51" s="1"/>
      <c r="BL51" s="1"/>
      <c r="BM51" s="1"/>
      <c r="BN51" s="1"/>
      <c r="BO51" s="1"/>
      <c r="BP51" s="1"/>
      <c r="BQ51" s="1"/>
      <c r="BR51" s="1"/>
      <c r="BS51" s="1"/>
      <c r="BT51" s="1"/>
    </row>
    <row r="52" spans="1:72" ht="15.75" x14ac:dyDescent="0.25">
      <c r="A52" s="232" t="s">
        <v>45</v>
      </c>
      <c r="B52" s="233"/>
      <c r="C52" s="233"/>
      <c r="D52" s="234"/>
      <c r="E52" s="124" t="s">
        <v>28</v>
      </c>
      <c r="F52" s="128"/>
      <c r="G52" s="14">
        <v>1004.49</v>
      </c>
      <c r="H52" s="14">
        <f t="shared" si="6"/>
        <v>0</v>
      </c>
      <c r="I52" s="128"/>
      <c r="J52" s="13">
        <v>1164.98</v>
      </c>
      <c r="K52" s="13">
        <f t="shared" si="3"/>
        <v>0</v>
      </c>
      <c r="L52" s="129"/>
      <c r="M52" s="13">
        <v>1747.46</v>
      </c>
      <c r="N52" s="13">
        <f t="shared" si="4"/>
        <v>0</v>
      </c>
      <c r="O52" s="107"/>
      <c r="P52" s="107"/>
      <c r="Q52" s="107"/>
      <c r="R52" s="107"/>
      <c r="S52" s="107"/>
      <c r="T52" s="107"/>
      <c r="U52" s="107"/>
      <c r="V52" s="15">
        <f t="shared" si="5"/>
        <v>0</v>
      </c>
      <c r="W52" s="107"/>
      <c r="X52" s="107"/>
      <c r="Y52" s="1"/>
      <c r="Z52" s="120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  <c r="AX52" s="1"/>
      <c r="AY52" s="1"/>
      <c r="AZ52" s="1"/>
      <c r="BA52" s="1"/>
      <c r="BB52" s="1"/>
      <c r="BC52" s="1"/>
      <c r="BD52" s="1"/>
      <c r="BE52" s="1"/>
      <c r="BF52" s="1"/>
      <c r="BG52" s="1"/>
      <c r="BH52" s="1"/>
      <c r="BI52" s="1"/>
      <c r="BJ52" s="1"/>
      <c r="BK52" s="1"/>
      <c r="BL52" s="1"/>
      <c r="BM52" s="1"/>
      <c r="BN52" s="1"/>
      <c r="BO52" s="1"/>
      <c r="BP52" s="1"/>
      <c r="BQ52" s="1"/>
      <c r="BR52" s="1"/>
      <c r="BS52" s="1"/>
      <c r="BT52" s="1"/>
    </row>
    <row r="53" spans="1:72" ht="15.75" x14ac:dyDescent="0.25">
      <c r="A53" s="232" t="s">
        <v>46</v>
      </c>
      <c r="B53" s="233"/>
      <c r="C53" s="233"/>
      <c r="D53" s="234"/>
      <c r="E53" s="124" t="s">
        <v>28</v>
      </c>
      <c r="F53" s="128"/>
      <c r="G53" s="14"/>
      <c r="H53" s="14">
        <f t="shared" si="6"/>
        <v>0</v>
      </c>
      <c r="I53" s="128"/>
      <c r="J53" s="13">
        <f>G53*1.5</f>
        <v>0</v>
      </c>
      <c r="K53" s="13">
        <f t="shared" si="3"/>
        <v>0</v>
      </c>
      <c r="L53" s="129"/>
      <c r="M53" s="13">
        <f>G53*2.25</f>
        <v>0</v>
      </c>
      <c r="N53" s="13">
        <f t="shared" si="4"/>
        <v>0</v>
      </c>
      <c r="O53" s="107"/>
      <c r="P53" s="107"/>
      <c r="Q53" s="107"/>
      <c r="R53" s="107"/>
      <c r="S53" s="107"/>
      <c r="T53" s="107"/>
      <c r="U53" s="107"/>
      <c r="V53" s="15">
        <f t="shared" si="5"/>
        <v>0</v>
      </c>
      <c r="W53" s="107"/>
      <c r="X53" s="107"/>
      <c r="Y53" s="1"/>
      <c r="Z53" s="120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/>
      <c r="AX53" s="1"/>
      <c r="AY53" s="1"/>
      <c r="AZ53" s="1"/>
      <c r="BA53" s="1"/>
      <c r="BB53" s="1"/>
      <c r="BC53" s="1"/>
      <c r="BD53" s="1"/>
      <c r="BE53" s="1"/>
      <c r="BF53" s="1"/>
      <c r="BG53" s="1"/>
      <c r="BH53" s="1"/>
      <c r="BI53" s="1"/>
      <c r="BJ53" s="1"/>
      <c r="BK53" s="1"/>
      <c r="BL53" s="1"/>
      <c r="BM53" s="1"/>
      <c r="BN53" s="1"/>
      <c r="BO53" s="1"/>
      <c r="BP53" s="1"/>
      <c r="BQ53" s="1"/>
      <c r="BR53" s="1"/>
      <c r="BS53" s="1"/>
      <c r="BT53" s="1"/>
    </row>
    <row r="54" spans="1:72" ht="15.75" x14ac:dyDescent="0.25">
      <c r="A54" s="7"/>
      <c r="B54" s="7"/>
      <c r="C54" s="7"/>
      <c r="D54" s="7"/>
      <c r="E54" s="7"/>
      <c r="F54" s="7">
        <f>V54</f>
        <v>0</v>
      </c>
      <c r="G54" s="6" t="s">
        <v>47</v>
      </c>
      <c r="H54" s="19">
        <f>SUM(H31:H53)</f>
        <v>0</v>
      </c>
      <c r="I54" s="103"/>
      <c r="J54" s="6" t="s">
        <v>48</v>
      </c>
      <c r="K54" s="6">
        <f>SUM(K31:K53)</f>
        <v>0</v>
      </c>
      <c r="L54" s="145"/>
      <c r="M54" s="21" t="s">
        <v>48</v>
      </c>
      <c r="N54" s="6">
        <f>SUM(N31:N53)</f>
        <v>0</v>
      </c>
      <c r="O54" s="16"/>
      <c r="P54" s="16"/>
      <c r="Q54" s="16"/>
      <c r="R54" s="16"/>
      <c r="S54" s="16"/>
      <c r="T54" s="16"/>
      <c r="U54" s="16"/>
      <c r="V54" s="16"/>
      <c r="W54" s="16"/>
      <c r="X54" s="16"/>
      <c r="Y54" s="1"/>
      <c r="Z54" s="120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1"/>
      <c r="AX54" s="1"/>
      <c r="AY54" s="1"/>
      <c r="AZ54" s="1"/>
      <c r="BA54" s="1"/>
      <c r="BB54" s="1"/>
      <c r="BC54" s="1"/>
      <c r="BD54" s="1"/>
      <c r="BE54" s="1"/>
      <c r="BF54" s="1"/>
      <c r="BG54" s="1"/>
      <c r="BH54" s="1"/>
      <c r="BI54" s="1"/>
      <c r="BJ54" s="1"/>
      <c r="BK54" s="1"/>
      <c r="BL54" s="1"/>
      <c r="BM54" s="1"/>
      <c r="BN54" s="1"/>
      <c r="BO54" s="1"/>
      <c r="BP54" s="1"/>
      <c r="BQ54" s="1"/>
      <c r="BR54" s="1"/>
      <c r="BS54" s="1"/>
      <c r="BT54" s="1"/>
    </row>
    <row r="55" spans="1:72" ht="15.75" x14ac:dyDescent="0.25">
      <c r="A55" s="7"/>
      <c r="B55" s="7"/>
      <c r="C55" s="7"/>
      <c r="D55" s="7"/>
      <c r="E55" s="7"/>
      <c r="F55" s="7"/>
      <c r="G55" s="6" t="s">
        <v>49</v>
      </c>
      <c r="H55" s="19">
        <f>H54+K54+N54</f>
        <v>0</v>
      </c>
      <c r="I55" s="22"/>
      <c r="J55" s="22"/>
      <c r="K55" s="22"/>
      <c r="L55" s="7"/>
      <c r="M55" s="23"/>
      <c r="N55" s="22"/>
      <c r="O55" s="16"/>
      <c r="P55" s="16"/>
      <c r="Q55" s="16"/>
      <c r="R55" s="16"/>
      <c r="S55" s="16"/>
      <c r="T55" s="16"/>
      <c r="U55" s="16"/>
      <c r="V55" s="16"/>
      <c r="W55" s="16"/>
      <c r="X55" s="16"/>
      <c r="Y55" s="1"/>
      <c r="Z55" s="120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  <c r="AW55" s="1"/>
      <c r="AX55" s="1"/>
      <c r="AY55" s="1"/>
      <c r="AZ55" s="1"/>
      <c r="BA55" s="1"/>
      <c r="BB55" s="1"/>
      <c r="BC55" s="1"/>
      <c r="BD55" s="1"/>
      <c r="BE55" s="1"/>
      <c r="BF55" s="1"/>
      <c r="BG55" s="1"/>
      <c r="BH55" s="1"/>
      <c r="BI55" s="1"/>
      <c r="BJ55" s="1"/>
      <c r="BK55" s="1"/>
      <c r="BL55" s="1"/>
      <c r="BM55" s="1"/>
      <c r="BN55" s="1"/>
      <c r="BO55" s="1"/>
      <c r="BP55" s="1"/>
      <c r="BQ55" s="1"/>
      <c r="BR55" s="1"/>
      <c r="BS55" s="1"/>
      <c r="BT55" s="1"/>
    </row>
    <row r="56" spans="1:72" ht="15.75" x14ac:dyDescent="0.25">
      <c r="A56" s="238" t="s">
        <v>50</v>
      </c>
      <c r="B56" s="238"/>
      <c r="C56" s="238"/>
      <c r="D56" s="238"/>
      <c r="E56" s="24"/>
      <c r="F56" s="25"/>
      <c r="G56" s="26" t="s">
        <v>51</v>
      </c>
      <c r="H56" s="6">
        <f>+H55*0.06</f>
        <v>0</v>
      </c>
      <c r="I56" s="22"/>
      <c r="J56" s="7"/>
      <c r="K56" s="7"/>
      <c r="L56" s="7"/>
      <c r="M56" s="7"/>
      <c r="N56" s="7"/>
      <c r="O56" s="16"/>
      <c r="P56" s="16"/>
      <c r="Q56" s="16"/>
      <c r="R56" s="16"/>
      <c r="S56" s="16"/>
      <c r="T56" s="16"/>
      <c r="U56" s="16"/>
      <c r="V56" s="16"/>
      <c r="W56" s="16"/>
      <c r="X56" s="16"/>
      <c r="Y56" s="1"/>
      <c r="Z56" s="120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  <c r="AX56" s="1"/>
      <c r="AY56" s="1"/>
      <c r="AZ56" s="1"/>
      <c r="BA56" s="1"/>
      <c r="BB56" s="1"/>
      <c r="BC56" s="1"/>
      <c r="BD56" s="1"/>
      <c r="BE56" s="1"/>
      <c r="BF56" s="1"/>
      <c r="BG56" s="1"/>
      <c r="BH56" s="1"/>
      <c r="BI56" s="1"/>
      <c r="BJ56" s="1"/>
      <c r="BK56" s="1"/>
      <c r="BL56" s="1"/>
      <c r="BM56" s="1"/>
      <c r="BN56" s="1"/>
      <c r="BO56" s="1"/>
      <c r="BP56" s="1"/>
      <c r="BQ56" s="1"/>
      <c r="BR56" s="1"/>
      <c r="BS56" s="1"/>
      <c r="BT56" s="1"/>
    </row>
    <row r="57" spans="1:72" ht="15.75" x14ac:dyDescent="0.25">
      <c r="A57" s="27"/>
      <c r="B57" s="7"/>
      <c r="C57" s="7"/>
      <c r="D57" s="7"/>
      <c r="E57" s="7"/>
      <c r="F57" s="7"/>
      <c r="G57" s="124"/>
      <c r="H57" s="14">
        <f>+H55+H56</f>
        <v>0</v>
      </c>
      <c r="I57" s="22"/>
      <c r="J57" s="7"/>
      <c r="K57" s="7"/>
      <c r="L57" s="7"/>
      <c r="M57" s="7"/>
      <c r="N57" s="7"/>
      <c r="O57" s="16"/>
      <c r="P57" s="16"/>
      <c r="Q57" s="16"/>
      <c r="R57" s="16"/>
      <c r="S57" s="16"/>
      <c r="T57" s="16"/>
      <c r="U57" s="16"/>
      <c r="V57" s="16"/>
      <c r="W57" s="16"/>
      <c r="X57" s="16"/>
      <c r="Y57" s="1"/>
      <c r="Z57" s="120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  <c r="AX57" s="1"/>
      <c r="AY57" s="1"/>
      <c r="AZ57" s="1"/>
      <c r="BA57" s="1"/>
      <c r="BB57" s="1"/>
      <c r="BC57" s="1"/>
      <c r="BD57" s="1"/>
      <c r="BE57" s="1"/>
      <c r="BF57" s="1"/>
      <c r="BG57" s="1"/>
      <c r="BH57" s="1"/>
      <c r="BI57" s="1"/>
      <c r="BJ57" s="1"/>
      <c r="BK57" s="1"/>
      <c r="BL57" s="1"/>
      <c r="BM57" s="1"/>
      <c r="BN57" s="1"/>
      <c r="BO57" s="1"/>
      <c r="BP57" s="1"/>
      <c r="BQ57" s="1"/>
      <c r="BR57" s="1"/>
      <c r="BS57" s="1"/>
      <c r="BT57" s="1"/>
    </row>
    <row r="58" spans="1:72" ht="15.75" x14ac:dyDescent="0.25">
      <c r="A58" s="239" t="s">
        <v>52</v>
      </c>
      <c r="B58" s="239"/>
      <c r="C58" s="239"/>
      <c r="D58" s="239"/>
      <c r="E58" s="16"/>
      <c r="F58" s="16"/>
      <c r="G58" s="16"/>
      <c r="H58" s="16"/>
      <c r="I58" s="16"/>
      <c r="J58" s="16"/>
      <c r="K58" s="16"/>
      <c r="L58" s="16"/>
      <c r="M58" s="16"/>
      <c r="N58" s="16"/>
      <c r="O58" s="16"/>
      <c r="P58" s="16"/>
      <c r="Q58" s="16"/>
      <c r="R58" s="16"/>
      <c r="S58" s="16"/>
      <c r="T58" s="16"/>
      <c r="U58" s="16"/>
      <c r="V58" s="16"/>
      <c r="W58" s="16"/>
      <c r="X58" s="16"/>
      <c r="Y58" s="1"/>
      <c r="Z58" s="120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  <c r="AX58" s="1"/>
      <c r="AY58" s="1"/>
      <c r="AZ58" s="1"/>
      <c r="BA58" s="1"/>
      <c r="BB58" s="1"/>
      <c r="BC58" s="1"/>
      <c r="BD58" s="1"/>
      <c r="BE58" s="1"/>
      <c r="BF58" s="1"/>
      <c r="BG58" s="1"/>
      <c r="BH58" s="1"/>
      <c r="BI58" s="1"/>
      <c r="BJ58" s="1"/>
      <c r="BK58" s="1"/>
      <c r="BL58" s="1"/>
      <c r="BM58" s="1"/>
      <c r="BN58" s="1"/>
      <c r="BO58" s="1"/>
      <c r="BP58" s="1"/>
      <c r="BQ58" s="1"/>
      <c r="BR58" s="1"/>
      <c r="BS58" s="1"/>
      <c r="BT58" s="1"/>
    </row>
    <row r="59" spans="1:72" ht="15.75" x14ac:dyDescent="0.25">
      <c r="A59" s="240" t="s">
        <v>7</v>
      </c>
      <c r="B59" s="240"/>
      <c r="C59" s="240"/>
      <c r="D59" s="240"/>
      <c r="E59" s="28" t="s">
        <v>8</v>
      </c>
      <c r="F59" s="118" t="s">
        <v>9</v>
      </c>
      <c r="G59" s="118" t="s">
        <v>10</v>
      </c>
      <c r="H59" s="118" t="s">
        <v>0</v>
      </c>
      <c r="I59" s="38"/>
      <c r="J59" s="118" t="s">
        <v>53</v>
      </c>
      <c r="K59" s="118" t="s">
        <v>54</v>
      </c>
      <c r="L59" s="118" t="s">
        <v>55</v>
      </c>
      <c r="M59" s="118" t="s">
        <v>56</v>
      </c>
      <c r="N59" s="16"/>
      <c r="O59" s="16"/>
      <c r="P59" s="16"/>
      <c r="Q59" s="16"/>
      <c r="R59" s="16"/>
      <c r="S59" s="16"/>
      <c r="T59" s="16"/>
      <c r="U59" s="16"/>
      <c r="V59" s="16"/>
      <c r="W59" s="16"/>
      <c r="X59" s="16"/>
      <c r="Y59" s="1"/>
      <c r="Z59" s="120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  <c r="AX59" s="1"/>
      <c r="AY59" s="1"/>
      <c r="AZ59" s="1"/>
      <c r="BA59" s="1"/>
      <c r="BB59" s="1"/>
      <c r="BC59" s="1"/>
      <c r="BD59" s="1"/>
      <c r="BE59" s="1"/>
      <c r="BF59" s="1"/>
      <c r="BG59" s="1"/>
      <c r="BH59" s="1"/>
      <c r="BI59" s="1"/>
      <c r="BJ59" s="1"/>
      <c r="BK59" s="1"/>
      <c r="BL59" s="1"/>
      <c r="BM59" s="1"/>
      <c r="BN59" s="1"/>
      <c r="BO59" s="1"/>
      <c r="BP59" s="1"/>
      <c r="BQ59" s="1"/>
      <c r="BR59" s="1"/>
      <c r="BS59" s="1"/>
      <c r="BT59" s="1"/>
    </row>
    <row r="60" spans="1:72" ht="33.6" customHeight="1" x14ac:dyDescent="0.25">
      <c r="A60" s="236" t="s">
        <v>133</v>
      </c>
      <c r="B60" s="237"/>
      <c r="C60" s="237"/>
      <c r="D60" s="237"/>
      <c r="E60" s="31" t="s">
        <v>57</v>
      </c>
      <c r="F60" s="146">
        <v>0</v>
      </c>
      <c r="G60" s="127">
        <v>170</v>
      </c>
      <c r="H60" s="127">
        <f t="shared" ref="H60:H66" si="7">F60*G60</f>
        <v>0</v>
      </c>
      <c r="I60" s="30"/>
      <c r="J60" s="31"/>
      <c r="K60" s="31"/>
      <c r="L60" s="31"/>
      <c r="M60" s="31">
        <f t="shared" ref="M60:M66" si="8">J60+K60+L60</f>
        <v>0</v>
      </c>
      <c r="N60" s="16"/>
      <c r="O60" s="16"/>
      <c r="P60" s="16"/>
      <c r="Q60" s="16"/>
      <c r="R60" s="16"/>
      <c r="S60" s="16"/>
      <c r="T60" s="16"/>
      <c r="U60" s="16"/>
      <c r="V60" s="16"/>
      <c r="W60" s="16"/>
      <c r="X60" s="16"/>
      <c r="Y60" s="1"/>
      <c r="Z60" s="120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  <c r="AX60" s="1"/>
      <c r="AY60" s="1"/>
      <c r="AZ60" s="1"/>
      <c r="BA60" s="1"/>
      <c r="BB60" s="1"/>
      <c r="BC60" s="1"/>
      <c r="BD60" s="1"/>
      <c r="BE60" s="1"/>
      <c r="BF60" s="1"/>
      <c r="BG60" s="1"/>
      <c r="BH60" s="1"/>
      <c r="BI60" s="1"/>
      <c r="BJ60" s="1"/>
      <c r="BK60" s="1"/>
      <c r="BL60" s="1"/>
      <c r="BM60" s="1"/>
      <c r="BN60" s="1"/>
      <c r="BO60" s="1"/>
      <c r="BP60" s="1"/>
      <c r="BQ60" s="1"/>
      <c r="BR60" s="1"/>
      <c r="BS60" s="1"/>
      <c r="BT60" s="1"/>
    </row>
    <row r="61" spans="1:72" ht="33.6" customHeight="1" x14ac:dyDescent="0.25">
      <c r="A61" s="236" t="s">
        <v>134</v>
      </c>
      <c r="B61" s="237"/>
      <c r="C61" s="237"/>
      <c r="D61" s="237"/>
      <c r="E61" s="31" t="s">
        <v>57</v>
      </c>
      <c r="F61" s="146">
        <v>0</v>
      </c>
      <c r="G61" s="127">
        <v>150</v>
      </c>
      <c r="H61" s="127">
        <f t="shared" si="7"/>
        <v>0</v>
      </c>
      <c r="I61" s="30"/>
      <c r="J61" s="31"/>
      <c r="K61" s="31"/>
      <c r="L61" s="31"/>
      <c r="M61" s="31">
        <f t="shared" si="8"/>
        <v>0</v>
      </c>
      <c r="N61" s="16"/>
      <c r="O61" s="16"/>
      <c r="P61" s="16"/>
      <c r="Q61" s="16"/>
      <c r="R61" s="16"/>
      <c r="S61" s="16"/>
      <c r="T61" s="16"/>
      <c r="U61" s="16"/>
      <c r="V61" s="16"/>
      <c r="W61" s="16"/>
      <c r="X61" s="16"/>
      <c r="Y61" s="1"/>
      <c r="Z61" s="120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  <c r="AX61" s="1"/>
      <c r="AY61" s="1"/>
      <c r="AZ61" s="1"/>
      <c r="BA61" s="1"/>
      <c r="BB61" s="1"/>
      <c r="BC61" s="1"/>
      <c r="BD61" s="1"/>
      <c r="BE61" s="1"/>
      <c r="BF61" s="1"/>
      <c r="BG61" s="1"/>
      <c r="BH61" s="1"/>
      <c r="BI61" s="1"/>
      <c r="BJ61" s="1"/>
      <c r="BK61" s="1"/>
      <c r="BL61" s="1"/>
      <c r="BM61" s="1"/>
      <c r="BN61" s="1"/>
      <c r="BO61" s="1"/>
      <c r="BP61" s="1"/>
      <c r="BQ61" s="1"/>
      <c r="BR61" s="1"/>
      <c r="BS61" s="1"/>
      <c r="BT61" s="1"/>
    </row>
    <row r="62" spans="1:72" ht="33.6" customHeight="1" x14ac:dyDescent="0.25">
      <c r="A62" s="236" t="s">
        <v>58</v>
      </c>
      <c r="B62" s="237"/>
      <c r="C62" s="237"/>
      <c r="D62" s="237"/>
      <c r="E62" s="31" t="s">
        <v>57</v>
      </c>
      <c r="F62" s="146">
        <v>0</v>
      </c>
      <c r="G62" s="127">
        <v>80</v>
      </c>
      <c r="H62" s="127">
        <f t="shared" si="7"/>
        <v>0</v>
      </c>
      <c r="I62" s="30"/>
      <c r="J62" s="31"/>
      <c r="K62" s="31"/>
      <c r="L62" s="31"/>
      <c r="M62" s="31">
        <f t="shared" si="8"/>
        <v>0</v>
      </c>
      <c r="N62" s="16"/>
      <c r="O62" s="16"/>
      <c r="P62" s="16"/>
      <c r="Q62" s="16"/>
      <c r="R62" s="16"/>
      <c r="S62" s="16"/>
      <c r="T62" s="16"/>
      <c r="U62" s="16"/>
      <c r="V62" s="16"/>
      <c r="W62" s="16"/>
      <c r="X62" s="16"/>
      <c r="Y62" s="1"/>
      <c r="Z62" s="120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  <c r="AY62" s="1"/>
      <c r="AZ62" s="1"/>
      <c r="BA62" s="1"/>
      <c r="BB62" s="1"/>
      <c r="BC62" s="1"/>
      <c r="BD62" s="1"/>
      <c r="BE62" s="1"/>
      <c r="BF62" s="1"/>
      <c r="BG62" s="1"/>
      <c r="BH62" s="1"/>
      <c r="BI62" s="1"/>
      <c r="BJ62" s="1"/>
      <c r="BK62" s="1"/>
      <c r="BL62" s="1"/>
      <c r="BM62" s="1"/>
      <c r="BN62" s="1"/>
      <c r="BO62" s="1"/>
      <c r="BP62" s="1"/>
      <c r="BQ62" s="1"/>
      <c r="BR62" s="1"/>
      <c r="BS62" s="1"/>
      <c r="BT62" s="1"/>
    </row>
    <row r="63" spans="1:72" ht="33.6" customHeight="1" x14ac:dyDescent="0.25">
      <c r="A63" s="236" t="s">
        <v>135</v>
      </c>
      <c r="B63" s="237"/>
      <c r="C63" s="237"/>
      <c r="D63" s="237"/>
      <c r="E63" s="31" t="s">
        <v>57</v>
      </c>
      <c r="F63" s="146">
        <v>0</v>
      </c>
      <c r="G63" s="127">
        <v>150</v>
      </c>
      <c r="H63" s="127">
        <f t="shared" si="7"/>
        <v>0</v>
      </c>
      <c r="I63" s="30"/>
      <c r="J63" s="31"/>
      <c r="K63" s="31"/>
      <c r="L63" s="31"/>
      <c r="M63" s="31">
        <f t="shared" si="8"/>
        <v>0</v>
      </c>
      <c r="N63" s="16"/>
      <c r="O63" s="16"/>
      <c r="P63" s="16"/>
      <c r="Q63" s="16"/>
      <c r="R63" s="16"/>
      <c r="S63" s="16"/>
      <c r="T63" s="16"/>
      <c r="U63" s="16"/>
      <c r="V63" s="16"/>
      <c r="W63" s="16"/>
      <c r="X63" s="16"/>
      <c r="Y63" s="1"/>
      <c r="Z63" s="120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  <c r="AY63" s="1"/>
      <c r="AZ63" s="1"/>
      <c r="BA63" s="1"/>
      <c r="BB63" s="1"/>
      <c r="BC63" s="1"/>
      <c r="BD63" s="1"/>
      <c r="BE63" s="1"/>
      <c r="BF63" s="1"/>
      <c r="BG63" s="1"/>
      <c r="BH63" s="1"/>
      <c r="BI63" s="1"/>
      <c r="BJ63" s="1"/>
      <c r="BK63" s="1"/>
      <c r="BL63" s="1"/>
      <c r="BM63" s="1"/>
      <c r="BN63" s="1"/>
      <c r="BO63" s="1"/>
      <c r="BP63" s="1"/>
      <c r="BQ63" s="1"/>
      <c r="BR63" s="1"/>
      <c r="BS63" s="1"/>
      <c r="BT63" s="1"/>
    </row>
    <row r="64" spans="1:72" ht="33.6" customHeight="1" x14ac:dyDescent="0.25">
      <c r="A64" s="236" t="s">
        <v>182</v>
      </c>
      <c r="B64" s="237"/>
      <c r="C64" s="237"/>
      <c r="D64" s="237"/>
      <c r="E64" s="31" t="s">
        <v>57</v>
      </c>
      <c r="F64" s="146"/>
      <c r="G64" s="127">
        <v>500</v>
      </c>
      <c r="H64" s="127">
        <f t="shared" si="7"/>
        <v>0</v>
      </c>
      <c r="I64" s="30"/>
      <c r="J64" s="31"/>
      <c r="K64" s="31"/>
      <c r="L64" s="31"/>
      <c r="M64" s="31">
        <f t="shared" si="8"/>
        <v>0</v>
      </c>
      <c r="N64" s="16"/>
      <c r="O64" s="16"/>
      <c r="P64" s="16"/>
      <c r="Q64" s="16"/>
      <c r="R64" s="16"/>
      <c r="S64" s="16"/>
      <c r="T64" s="16"/>
      <c r="U64" s="16"/>
      <c r="V64" s="16"/>
      <c r="W64" s="16"/>
      <c r="X64" s="16"/>
      <c r="Y64" s="1"/>
      <c r="Z64" s="120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  <c r="AX64" s="1"/>
      <c r="AY64" s="1"/>
      <c r="AZ64" s="1"/>
      <c r="BA64" s="1"/>
      <c r="BB64" s="1"/>
      <c r="BC64" s="1"/>
      <c r="BD64" s="1"/>
      <c r="BE64" s="1"/>
      <c r="BF64" s="1"/>
      <c r="BG64" s="1"/>
      <c r="BH64" s="1"/>
      <c r="BI64" s="1"/>
      <c r="BJ64" s="1"/>
      <c r="BK64" s="1"/>
      <c r="BL64" s="1"/>
      <c r="BM64" s="1"/>
      <c r="BN64" s="1"/>
      <c r="BO64" s="1"/>
      <c r="BP64" s="1"/>
      <c r="BQ64" s="1"/>
      <c r="BR64" s="1"/>
      <c r="BS64" s="1"/>
      <c r="BT64" s="1"/>
    </row>
    <row r="65" spans="1:72" ht="33.6" customHeight="1" x14ac:dyDescent="0.25">
      <c r="A65" s="236"/>
      <c r="B65" s="237"/>
      <c r="C65" s="237"/>
      <c r="D65" s="237"/>
      <c r="E65" s="31" t="s">
        <v>59</v>
      </c>
      <c r="F65" s="146">
        <v>0</v>
      </c>
      <c r="G65" s="127"/>
      <c r="H65" s="127">
        <f t="shared" si="7"/>
        <v>0</v>
      </c>
      <c r="I65" s="30"/>
      <c r="J65" s="31"/>
      <c r="K65" s="31"/>
      <c r="L65" s="31"/>
      <c r="M65" s="31">
        <f t="shared" si="8"/>
        <v>0</v>
      </c>
      <c r="N65" s="16"/>
      <c r="O65" s="16"/>
      <c r="P65" s="16"/>
      <c r="Q65" s="16"/>
      <c r="R65" s="16"/>
      <c r="S65" s="16"/>
      <c r="T65" s="16"/>
      <c r="U65" s="16"/>
      <c r="V65" s="16"/>
      <c r="W65" s="16"/>
      <c r="X65" s="16"/>
      <c r="Y65" s="1"/>
      <c r="Z65" s="120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  <c r="AX65" s="1"/>
      <c r="AY65" s="1"/>
      <c r="AZ65" s="1"/>
      <c r="BA65" s="1"/>
      <c r="BB65" s="1"/>
      <c r="BC65" s="1"/>
      <c r="BD65" s="1"/>
      <c r="BE65" s="1"/>
      <c r="BF65" s="1"/>
      <c r="BG65" s="1"/>
      <c r="BH65" s="1"/>
      <c r="BI65" s="1"/>
      <c r="BJ65" s="1"/>
      <c r="BK65" s="1"/>
      <c r="BL65" s="1"/>
      <c r="BM65" s="1"/>
      <c r="BN65" s="1"/>
      <c r="BO65" s="1"/>
      <c r="BP65" s="1"/>
      <c r="BQ65" s="1"/>
      <c r="BR65" s="1"/>
      <c r="BS65" s="1"/>
      <c r="BT65" s="1"/>
    </row>
    <row r="66" spans="1:72" ht="33.6" customHeight="1" x14ac:dyDescent="0.25">
      <c r="A66" s="236" t="s">
        <v>60</v>
      </c>
      <c r="B66" s="237"/>
      <c r="C66" s="237"/>
      <c r="D66" s="237"/>
      <c r="E66" s="31" t="s">
        <v>61</v>
      </c>
      <c r="F66" s="146"/>
      <c r="G66" s="127">
        <v>2.5</v>
      </c>
      <c r="H66" s="127">
        <f t="shared" si="7"/>
        <v>0</v>
      </c>
      <c r="I66" s="30"/>
      <c r="J66" s="31"/>
      <c r="K66" s="31"/>
      <c r="L66" s="31"/>
      <c r="M66" s="31">
        <f t="shared" si="8"/>
        <v>0</v>
      </c>
      <c r="N66" s="16"/>
      <c r="O66" s="16"/>
      <c r="P66" s="16"/>
      <c r="Q66" s="16"/>
      <c r="R66" s="16"/>
      <c r="S66" s="16"/>
      <c r="T66" s="16"/>
      <c r="U66" s="16"/>
      <c r="V66" s="16"/>
      <c r="W66" s="16"/>
      <c r="X66" s="16"/>
      <c r="Y66" s="1"/>
      <c r="Z66" s="120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  <c r="AX66" s="1"/>
      <c r="AY66" s="1"/>
      <c r="AZ66" s="1"/>
      <c r="BA66" s="1"/>
      <c r="BB66" s="1"/>
      <c r="BC66" s="1"/>
      <c r="BD66" s="1"/>
      <c r="BE66" s="1"/>
      <c r="BF66" s="1"/>
      <c r="BG66" s="1"/>
      <c r="BH66" s="1"/>
      <c r="BI66" s="1"/>
      <c r="BJ66" s="1"/>
      <c r="BK66" s="1"/>
      <c r="BL66" s="1"/>
      <c r="BM66" s="1"/>
      <c r="BN66" s="1"/>
      <c r="BO66" s="1"/>
      <c r="BP66" s="1"/>
      <c r="BQ66" s="1"/>
      <c r="BR66" s="1"/>
      <c r="BS66" s="1"/>
      <c r="BT66" s="1"/>
    </row>
    <row r="67" spans="1:72" ht="15.75" x14ac:dyDescent="0.25">
      <c r="A67" s="16"/>
      <c r="B67" s="16"/>
      <c r="C67" s="16"/>
      <c r="D67" s="16"/>
      <c r="E67" s="16"/>
      <c r="F67" s="16"/>
      <c r="G67" s="34" t="s">
        <v>62</v>
      </c>
      <c r="H67" s="34">
        <f>SUM(H60:H66)</f>
        <v>0</v>
      </c>
      <c r="I67" s="22"/>
      <c r="J67" s="16"/>
      <c r="K67" s="16"/>
      <c r="L67" s="16"/>
      <c r="M67" s="139"/>
      <c r="N67" s="16"/>
      <c r="O67" s="16"/>
      <c r="P67" s="16"/>
      <c r="Q67" s="16"/>
      <c r="R67" s="16"/>
      <c r="S67" s="16"/>
      <c r="T67" s="16"/>
      <c r="U67" s="16"/>
      <c r="V67" s="16"/>
      <c r="W67" s="16"/>
      <c r="X67" s="16"/>
      <c r="Y67" s="1"/>
      <c r="Z67" s="120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  <c r="AX67" s="1"/>
      <c r="AY67" s="1"/>
      <c r="AZ67" s="1"/>
      <c r="BA67" s="1"/>
      <c r="BB67" s="1"/>
      <c r="BC67" s="1"/>
      <c r="BD67" s="1"/>
      <c r="BE67" s="1"/>
      <c r="BF67" s="1"/>
      <c r="BG67" s="1"/>
      <c r="BH67" s="1"/>
      <c r="BI67" s="1"/>
      <c r="BJ67" s="1"/>
      <c r="BK67" s="1"/>
      <c r="BL67" s="1"/>
      <c r="BM67" s="1"/>
      <c r="BN67" s="1"/>
      <c r="BO67" s="1"/>
      <c r="BP67" s="1"/>
      <c r="BQ67" s="1"/>
      <c r="BR67" s="1"/>
      <c r="BS67" s="1"/>
      <c r="BT67" s="1"/>
    </row>
    <row r="68" spans="1:72" ht="15.75" x14ac:dyDescent="0.25">
      <c r="A68" s="243" t="s">
        <v>63</v>
      </c>
      <c r="B68" s="243"/>
      <c r="C68" s="16"/>
      <c r="D68" s="16"/>
      <c r="E68" s="16"/>
      <c r="F68" s="16"/>
      <c r="G68" s="16"/>
      <c r="H68" s="16"/>
      <c r="I68" s="16"/>
      <c r="J68" s="16"/>
      <c r="K68" s="16"/>
      <c r="L68" s="16"/>
      <c r="M68" s="139"/>
      <c r="N68" s="16"/>
      <c r="O68" s="16"/>
      <c r="P68" s="16"/>
      <c r="Q68" s="16"/>
      <c r="R68" s="16"/>
      <c r="S68" s="16"/>
      <c r="T68" s="16"/>
      <c r="U68" s="16"/>
      <c r="V68" s="16"/>
      <c r="W68" s="16"/>
      <c r="X68" s="16"/>
      <c r="Y68" s="1"/>
      <c r="Z68" s="120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  <c r="AX68" s="1"/>
      <c r="AY68" s="1"/>
      <c r="AZ68" s="1"/>
      <c r="BA68" s="1"/>
      <c r="BB68" s="1"/>
      <c r="BC68" s="1"/>
      <c r="BD68" s="1"/>
      <c r="BE68" s="1"/>
      <c r="BF68" s="1"/>
      <c r="BG68" s="1"/>
      <c r="BH68" s="1"/>
      <c r="BI68" s="1"/>
      <c r="BJ68" s="1"/>
      <c r="BK68" s="1"/>
      <c r="BL68" s="1"/>
      <c r="BM68" s="1"/>
      <c r="BN68" s="1"/>
      <c r="BO68" s="1"/>
      <c r="BP68" s="1"/>
      <c r="BQ68" s="1"/>
      <c r="BR68" s="1"/>
      <c r="BS68" s="1"/>
      <c r="BT68" s="1"/>
    </row>
    <row r="69" spans="1:72" ht="15.75" x14ac:dyDescent="0.25">
      <c r="A69" s="240" t="s">
        <v>7</v>
      </c>
      <c r="B69" s="240"/>
      <c r="C69" s="240"/>
      <c r="D69" s="240"/>
      <c r="E69" s="28" t="s">
        <v>8</v>
      </c>
      <c r="F69" s="118" t="s">
        <v>9</v>
      </c>
      <c r="G69" s="118" t="s">
        <v>10</v>
      </c>
      <c r="H69" s="118" t="s">
        <v>0</v>
      </c>
      <c r="I69" s="38"/>
      <c r="J69" s="35" t="s">
        <v>64</v>
      </c>
      <c r="K69" s="35" t="s">
        <v>65</v>
      </c>
      <c r="L69" s="35" t="s">
        <v>66</v>
      </c>
      <c r="M69" s="35" t="s">
        <v>56</v>
      </c>
      <c r="N69" s="16"/>
      <c r="O69" s="16"/>
      <c r="P69" s="16"/>
      <c r="Q69" s="16"/>
      <c r="R69" s="16"/>
      <c r="S69" s="16"/>
      <c r="T69" s="16"/>
      <c r="U69" s="16"/>
      <c r="V69" s="16"/>
      <c r="W69" s="16"/>
      <c r="X69" s="16"/>
      <c r="Y69" s="1"/>
      <c r="Z69" s="120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  <c r="AX69" s="1"/>
      <c r="AY69" s="1"/>
      <c r="AZ69" s="1"/>
      <c r="BA69" s="1"/>
      <c r="BB69" s="1"/>
      <c r="BC69" s="1"/>
      <c r="BD69" s="1"/>
      <c r="BE69" s="1"/>
      <c r="BF69" s="1"/>
      <c r="BG69" s="1"/>
      <c r="BH69" s="1"/>
      <c r="BI69" s="1"/>
      <c r="BJ69" s="1"/>
      <c r="BK69" s="1"/>
      <c r="BL69" s="1"/>
      <c r="BM69" s="1"/>
      <c r="BN69" s="1"/>
      <c r="BO69" s="1"/>
      <c r="BP69" s="1"/>
      <c r="BQ69" s="1"/>
      <c r="BR69" s="1"/>
      <c r="BS69" s="1"/>
      <c r="BT69" s="1"/>
    </row>
    <row r="70" spans="1:72" ht="21.6" customHeight="1" x14ac:dyDescent="0.25">
      <c r="A70" s="241" t="s">
        <v>67</v>
      </c>
      <c r="B70" s="242"/>
      <c r="C70" s="242"/>
      <c r="D70" s="244"/>
      <c r="E70" s="32" t="s">
        <v>68</v>
      </c>
      <c r="F70" s="147">
        <v>0</v>
      </c>
      <c r="G70" s="30">
        <v>23</v>
      </c>
      <c r="H70" s="33">
        <f>F70*G70</f>
        <v>0</v>
      </c>
      <c r="I70" s="30"/>
      <c r="J70" s="36"/>
      <c r="K70" s="36"/>
      <c r="L70" s="36"/>
      <c r="M70" s="36">
        <f>J70+K70+L70</f>
        <v>0</v>
      </c>
      <c r="N70" s="16"/>
      <c r="O70" s="16"/>
      <c r="P70" s="16"/>
      <c r="Q70" s="16"/>
      <c r="R70" s="16"/>
      <c r="S70" s="16"/>
      <c r="T70" s="16"/>
      <c r="U70" s="16"/>
      <c r="V70" s="16"/>
      <c r="W70" s="16"/>
      <c r="X70" s="16"/>
      <c r="Y70" s="1"/>
      <c r="Z70" s="120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  <c r="AW70" s="1"/>
      <c r="AX70" s="1"/>
      <c r="AY70" s="1"/>
      <c r="AZ70" s="1"/>
      <c r="BA70" s="1"/>
      <c r="BB70" s="1"/>
      <c r="BC70" s="1"/>
      <c r="BD70" s="1"/>
      <c r="BE70" s="1"/>
      <c r="BF70" s="1"/>
      <c r="BG70" s="1"/>
      <c r="BH70" s="1"/>
      <c r="BI70" s="1"/>
      <c r="BJ70" s="1"/>
      <c r="BK70" s="1"/>
      <c r="BL70" s="1"/>
      <c r="BM70" s="1"/>
      <c r="BN70" s="1"/>
      <c r="BO70" s="1"/>
      <c r="BP70" s="1"/>
      <c r="BQ70" s="1"/>
      <c r="BR70" s="1"/>
      <c r="BS70" s="1"/>
      <c r="BT70" s="1"/>
    </row>
    <row r="71" spans="1:72" ht="21.6" customHeight="1" x14ac:dyDescent="0.25">
      <c r="A71" s="241" t="s">
        <v>69</v>
      </c>
      <c r="B71" s="242"/>
      <c r="C71" s="242"/>
      <c r="D71" s="244"/>
      <c r="E71" s="32" t="s">
        <v>68</v>
      </c>
      <c r="F71" s="147">
        <v>130</v>
      </c>
      <c r="G71" s="29">
        <v>24</v>
      </c>
      <c r="H71" s="33">
        <f>F71*G71</f>
        <v>3120</v>
      </c>
      <c r="I71" s="30"/>
      <c r="J71" s="36"/>
      <c r="K71" s="36"/>
      <c r="L71" s="36"/>
      <c r="M71" s="36">
        <f>J71+K71+L71</f>
        <v>0</v>
      </c>
      <c r="N71" s="16"/>
      <c r="O71" s="16"/>
      <c r="P71" s="16"/>
      <c r="Q71" s="16"/>
      <c r="R71" s="16"/>
      <c r="S71" s="16"/>
      <c r="T71" s="16"/>
      <c r="U71" s="16"/>
      <c r="V71" s="16"/>
      <c r="W71" s="16"/>
      <c r="X71" s="16"/>
      <c r="Y71" s="1"/>
      <c r="Z71" s="120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  <c r="AW71" s="1"/>
      <c r="AX71" s="1"/>
      <c r="AY71" s="1"/>
      <c r="AZ71" s="1"/>
      <c r="BA71" s="1"/>
      <c r="BB71" s="1"/>
      <c r="BC71" s="1"/>
      <c r="BD71" s="1"/>
      <c r="BE71" s="1"/>
      <c r="BF71" s="1"/>
      <c r="BG71" s="1"/>
      <c r="BH71" s="1"/>
      <c r="BI71" s="1"/>
      <c r="BJ71" s="1"/>
      <c r="BK71" s="1"/>
      <c r="BL71" s="1"/>
      <c r="BM71" s="1"/>
      <c r="BN71" s="1"/>
      <c r="BO71" s="1"/>
      <c r="BP71" s="1"/>
      <c r="BQ71" s="1"/>
      <c r="BR71" s="1"/>
      <c r="BS71" s="1"/>
      <c r="BT71" s="1"/>
    </row>
    <row r="72" spans="1:72" ht="15.75" x14ac:dyDescent="0.25">
      <c r="A72" s="16"/>
      <c r="B72" s="16"/>
      <c r="C72" s="16"/>
      <c r="D72" s="16"/>
      <c r="E72" s="16"/>
      <c r="F72" s="16"/>
      <c r="G72" s="118" t="s">
        <v>70</v>
      </c>
      <c r="H72" s="34">
        <f>SUM(H70:H71)</f>
        <v>3120</v>
      </c>
      <c r="I72" s="30"/>
      <c r="J72" s="16"/>
      <c r="K72" s="16"/>
      <c r="L72" s="16"/>
      <c r="M72" s="16"/>
      <c r="N72" s="16"/>
      <c r="O72" s="16"/>
      <c r="P72" s="16"/>
      <c r="Q72" s="16"/>
      <c r="R72" s="16"/>
      <c r="S72" s="16"/>
      <c r="T72" s="16"/>
      <c r="U72" s="16"/>
      <c r="V72" s="16"/>
      <c r="W72" s="16"/>
      <c r="X72" s="16"/>
      <c r="Y72" s="1"/>
      <c r="Z72" s="120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  <c r="AW72" s="1"/>
      <c r="AX72" s="1"/>
      <c r="AY72" s="1"/>
      <c r="AZ72" s="1"/>
      <c r="BA72" s="1"/>
      <c r="BB72" s="1"/>
      <c r="BC72" s="1"/>
      <c r="BD72" s="1"/>
      <c r="BE72" s="1"/>
      <c r="BF72" s="1"/>
      <c r="BG72" s="1"/>
      <c r="BH72" s="1"/>
      <c r="BI72" s="1"/>
      <c r="BJ72" s="1"/>
      <c r="BK72" s="1"/>
      <c r="BL72" s="1"/>
      <c r="BM72" s="1"/>
      <c r="BN72" s="1"/>
      <c r="BO72" s="1"/>
      <c r="BP72" s="1"/>
      <c r="BQ72" s="1"/>
      <c r="BR72" s="1"/>
      <c r="BS72" s="1"/>
      <c r="BT72" s="1"/>
    </row>
    <row r="73" spans="1:72" ht="15.75" x14ac:dyDescent="0.25">
      <c r="A73" s="243" t="s">
        <v>71</v>
      </c>
      <c r="B73" s="243"/>
      <c r="C73" s="16"/>
      <c r="D73" s="16"/>
      <c r="E73" s="16"/>
      <c r="F73" s="16"/>
      <c r="G73" s="16"/>
      <c r="H73" s="16"/>
      <c r="I73" s="16"/>
      <c r="J73" s="16"/>
      <c r="K73" s="16"/>
      <c r="L73" s="16"/>
      <c r="M73" s="16"/>
      <c r="N73" s="16"/>
      <c r="O73" s="16"/>
      <c r="P73" s="16"/>
      <c r="Q73" s="16"/>
      <c r="R73" s="16"/>
      <c r="S73" s="16"/>
      <c r="T73" s="16"/>
      <c r="U73" s="16"/>
      <c r="V73" s="16"/>
      <c r="W73" s="16"/>
      <c r="X73" s="16"/>
      <c r="Y73" s="1"/>
      <c r="Z73" s="120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  <c r="AW73" s="1"/>
      <c r="AX73" s="1"/>
      <c r="AY73" s="1"/>
      <c r="AZ73" s="1"/>
      <c r="BA73" s="1"/>
      <c r="BB73" s="1"/>
      <c r="BC73" s="1"/>
      <c r="BD73" s="1"/>
      <c r="BE73" s="1"/>
      <c r="BF73" s="1"/>
      <c r="BG73" s="1"/>
      <c r="BH73" s="1"/>
      <c r="BI73" s="1"/>
      <c r="BJ73" s="1"/>
      <c r="BK73" s="1"/>
      <c r="BL73" s="1"/>
      <c r="BM73" s="1"/>
      <c r="BN73" s="1"/>
      <c r="BO73" s="1"/>
      <c r="BP73" s="1"/>
      <c r="BQ73" s="1"/>
      <c r="BR73" s="1"/>
      <c r="BS73" s="1"/>
      <c r="BT73" s="1"/>
    </row>
    <row r="74" spans="1:72" ht="15.75" x14ac:dyDescent="0.25">
      <c r="A74" s="240" t="s">
        <v>7</v>
      </c>
      <c r="B74" s="240"/>
      <c r="C74" s="240"/>
      <c r="D74" s="240"/>
      <c r="E74" s="28" t="s">
        <v>8</v>
      </c>
      <c r="F74" s="118" t="s">
        <v>9</v>
      </c>
      <c r="G74" s="118" t="s">
        <v>10</v>
      </c>
      <c r="H74" s="118" t="s">
        <v>0</v>
      </c>
      <c r="I74" s="38"/>
      <c r="J74" s="37"/>
      <c r="K74" s="16"/>
      <c r="L74" s="16"/>
      <c r="M74" s="16"/>
      <c r="N74" s="16"/>
      <c r="O74" s="16"/>
      <c r="P74" s="16"/>
      <c r="Q74" s="16"/>
      <c r="R74" s="16"/>
      <c r="S74" s="16"/>
      <c r="T74" s="16"/>
      <c r="U74" s="16"/>
      <c r="V74" s="16"/>
      <c r="W74" s="16"/>
      <c r="X74" s="16"/>
      <c r="Y74" s="1"/>
      <c r="Z74" s="120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  <c r="AV74" s="1"/>
      <c r="AW74" s="1"/>
      <c r="AX74" s="1"/>
      <c r="AY74" s="1"/>
      <c r="AZ74" s="1"/>
      <c r="BA74" s="1"/>
      <c r="BB74" s="1"/>
      <c r="BC74" s="1"/>
      <c r="BD74" s="1"/>
      <c r="BE74" s="1"/>
      <c r="BF74" s="1"/>
      <c r="BG74" s="1"/>
      <c r="BH74" s="1"/>
      <c r="BI74" s="1"/>
      <c r="BJ74" s="1"/>
      <c r="BK74" s="1"/>
      <c r="BL74" s="1"/>
      <c r="BM74" s="1"/>
      <c r="BN74" s="1"/>
      <c r="BO74" s="1"/>
      <c r="BP74" s="1"/>
      <c r="BQ74" s="1"/>
      <c r="BR74" s="1"/>
      <c r="BS74" s="1"/>
      <c r="BT74" s="1"/>
    </row>
    <row r="75" spans="1:72" ht="20.100000000000001" customHeight="1" x14ac:dyDescent="0.25">
      <c r="A75" s="241" t="s">
        <v>180</v>
      </c>
      <c r="B75" s="242"/>
      <c r="C75" s="242"/>
      <c r="D75" s="242"/>
      <c r="E75" s="32" t="s">
        <v>72</v>
      </c>
      <c r="F75" s="128">
        <v>2</v>
      </c>
      <c r="G75" s="29">
        <v>600</v>
      </c>
      <c r="H75" s="33">
        <f>F75*G75</f>
        <v>1200</v>
      </c>
      <c r="I75" s="17"/>
      <c r="J75" s="16"/>
      <c r="K75" s="16"/>
      <c r="L75" s="16"/>
      <c r="M75" s="16"/>
      <c r="N75" s="16"/>
      <c r="O75" s="16"/>
      <c r="P75" s="16"/>
      <c r="Q75" s="16"/>
      <c r="R75" s="16"/>
      <c r="S75" s="16"/>
      <c r="T75" s="16"/>
      <c r="U75" s="16"/>
      <c r="V75" s="16"/>
      <c r="W75" s="16"/>
      <c r="X75" s="16"/>
      <c r="Y75" s="1"/>
      <c r="Z75" s="120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  <c r="AV75" s="1"/>
      <c r="AW75" s="1"/>
      <c r="AX75" s="1"/>
      <c r="AY75" s="1"/>
      <c r="AZ75" s="1"/>
      <c r="BA75" s="1"/>
      <c r="BB75" s="1"/>
      <c r="BC75" s="1"/>
      <c r="BD75" s="1"/>
      <c r="BE75" s="1"/>
      <c r="BF75" s="1"/>
      <c r="BG75" s="1"/>
      <c r="BH75" s="1"/>
      <c r="BI75" s="1"/>
      <c r="BJ75" s="1"/>
      <c r="BK75" s="1"/>
      <c r="BL75" s="1"/>
      <c r="BM75" s="1"/>
      <c r="BN75" s="1"/>
      <c r="BO75" s="1"/>
      <c r="BP75" s="1"/>
      <c r="BQ75" s="1"/>
      <c r="BR75" s="1"/>
      <c r="BS75" s="1"/>
      <c r="BT75" s="1"/>
    </row>
    <row r="76" spans="1:72" ht="20.100000000000001" customHeight="1" x14ac:dyDescent="0.25">
      <c r="A76" s="241" t="s">
        <v>73</v>
      </c>
      <c r="B76" s="242"/>
      <c r="C76" s="242"/>
      <c r="D76" s="242"/>
      <c r="E76" s="32" t="s">
        <v>72</v>
      </c>
      <c r="F76" s="128">
        <v>0</v>
      </c>
      <c r="G76" s="29">
        <v>65</v>
      </c>
      <c r="H76" s="33">
        <f>F76*G76</f>
        <v>0</v>
      </c>
      <c r="I76" s="17"/>
      <c r="J76" s="16"/>
      <c r="K76" s="16"/>
      <c r="L76" s="16"/>
      <c r="M76" s="16"/>
      <c r="N76" s="16"/>
      <c r="O76" s="16"/>
      <c r="P76" s="16"/>
      <c r="Q76" s="16"/>
      <c r="R76" s="16"/>
      <c r="S76" s="16"/>
      <c r="T76" s="16"/>
      <c r="U76" s="16"/>
      <c r="V76" s="16"/>
      <c r="W76" s="16"/>
      <c r="X76" s="16"/>
      <c r="Y76" s="1"/>
      <c r="Z76" s="120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  <c r="AV76" s="1"/>
      <c r="AW76" s="1"/>
      <c r="AX76" s="1"/>
      <c r="AY76" s="1"/>
      <c r="AZ76" s="1"/>
      <c r="BA76" s="1"/>
      <c r="BB76" s="1"/>
      <c r="BC76" s="1"/>
      <c r="BD76" s="1"/>
      <c r="BE76" s="1"/>
      <c r="BF76" s="1"/>
      <c r="BG76" s="1"/>
      <c r="BH76" s="1"/>
      <c r="BI76" s="1"/>
      <c r="BJ76" s="1"/>
      <c r="BK76" s="1"/>
      <c r="BL76" s="1"/>
      <c r="BM76" s="1"/>
      <c r="BN76" s="1"/>
      <c r="BO76" s="1"/>
      <c r="BP76" s="1"/>
      <c r="BQ76" s="1"/>
      <c r="BR76" s="1"/>
      <c r="BS76" s="1"/>
      <c r="BT76" s="1"/>
    </row>
    <row r="77" spans="1:72" ht="15.75" x14ac:dyDescent="0.25">
      <c r="A77" s="16"/>
      <c r="B77" s="16"/>
      <c r="C77" s="16"/>
      <c r="D77" s="16"/>
      <c r="E77" s="16"/>
      <c r="F77" s="16"/>
      <c r="G77" s="118" t="s">
        <v>74</v>
      </c>
      <c r="H77" s="34">
        <f>SUM(H75:H76)</f>
        <v>1200</v>
      </c>
      <c r="I77" s="22"/>
      <c r="J77" s="16"/>
      <c r="K77" s="16"/>
      <c r="L77" s="16"/>
      <c r="M77" s="16"/>
      <c r="N77" s="16"/>
      <c r="O77" s="16"/>
      <c r="P77" s="16"/>
      <c r="Q77" s="16"/>
      <c r="R77" s="16"/>
      <c r="S77" s="16"/>
      <c r="T77" s="16"/>
      <c r="U77" s="16"/>
      <c r="V77" s="16"/>
      <c r="W77" s="16"/>
      <c r="X77" s="16"/>
      <c r="Y77" s="1"/>
      <c r="Z77" s="120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  <c r="AV77" s="1"/>
      <c r="AW77" s="1"/>
      <c r="AX77" s="1"/>
      <c r="AY77" s="1"/>
      <c r="AZ77" s="1"/>
      <c r="BA77" s="1"/>
      <c r="BB77" s="1"/>
      <c r="BC77" s="1"/>
      <c r="BD77" s="1"/>
      <c r="BE77" s="1"/>
      <c r="BF77" s="1"/>
      <c r="BG77" s="1"/>
      <c r="BH77" s="1"/>
      <c r="BI77" s="1"/>
      <c r="BJ77" s="1"/>
      <c r="BK77" s="1"/>
      <c r="BL77" s="1"/>
      <c r="BM77" s="1"/>
      <c r="BN77" s="1"/>
      <c r="BO77" s="1"/>
      <c r="BP77" s="1"/>
      <c r="BQ77" s="1"/>
      <c r="BR77" s="1"/>
      <c r="BS77" s="1"/>
      <c r="BT77" s="1"/>
    </row>
    <row r="78" spans="1:72" ht="15.75" x14ac:dyDescent="0.25">
      <c r="A78" s="3" t="s">
        <v>75</v>
      </c>
      <c r="B78" s="16"/>
      <c r="C78" s="16"/>
      <c r="D78" s="16"/>
      <c r="E78" s="16"/>
      <c r="F78" s="16"/>
      <c r="G78" s="38"/>
      <c r="H78" s="22"/>
      <c r="I78" s="22"/>
      <c r="J78" s="16"/>
      <c r="K78" s="16"/>
      <c r="L78" s="16"/>
      <c r="M78" s="16"/>
      <c r="N78" s="16"/>
      <c r="O78" s="16"/>
      <c r="P78" s="16"/>
      <c r="Q78" s="16"/>
      <c r="R78" s="16"/>
      <c r="S78" s="16"/>
      <c r="T78" s="16"/>
      <c r="U78" s="16"/>
      <c r="V78" s="16"/>
      <c r="W78" s="16"/>
      <c r="X78" s="16"/>
      <c r="Y78" s="1"/>
      <c r="Z78" s="120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  <c r="AV78" s="1"/>
      <c r="AW78" s="1"/>
      <c r="AX78" s="1"/>
      <c r="AY78" s="1"/>
      <c r="AZ78" s="1"/>
      <c r="BA78" s="1"/>
      <c r="BB78" s="1"/>
      <c r="BC78" s="1"/>
      <c r="BD78" s="1"/>
      <c r="BE78" s="1"/>
      <c r="BF78" s="1"/>
      <c r="BG78" s="1"/>
      <c r="BH78" s="1"/>
      <c r="BI78" s="1"/>
      <c r="BJ78" s="1"/>
      <c r="BK78" s="1"/>
      <c r="BL78" s="1"/>
      <c r="BM78" s="1"/>
      <c r="BN78" s="1"/>
      <c r="BO78" s="1"/>
      <c r="BP78" s="1"/>
      <c r="BQ78" s="1"/>
      <c r="BR78" s="1"/>
      <c r="BS78" s="1"/>
      <c r="BT78" s="1"/>
    </row>
    <row r="79" spans="1:72" ht="15.75" x14ac:dyDescent="0.25">
      <c r="A79" s="243" t="s">
        <v>76</v>
      </c>
      <c r="B79" s="243"/>
      <c r="C79" s="16"/>
      <c r="D79" s="16"/>
      <c r="E79" s="16"/>
      <c r="F79" s="16"/>
      <c r="G79" s="16"/>
      <c r="H79" s="16"/>
      <c r="I79" s="16"/>
      <c r="J79" s="245"/>
      <c r="K79" s="245"/>
      <c r="L79" s="16"/>
      <c r="M79" s="16"/>
      <c r="N79" s="16"/>
      <c r="O79" s="16"/>
      <c r="P79" s="16"/>
      <c r="Q79" s="16"/>
      <c r="R79" s="16"/>
      <c r="S79" s="16"/>
      <c r="T79" s="16"/>
      <c r="U79" s="16"/>
      <c r="V79" s="16"/>
      <c r="W79" s="16"/>
      <c r="X79" s="16"/>
      <c r="Y79" s="1"/>
      <c r="Z79" s="120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  <c r="AV79" s="1"/>
      <c r="AW79" s="1"/>
      <c r="AX79" s="1"/>
      <c r="AY79" s="1"/>
      <c r="AZ79" s="1"/>
      <c r="BA79" s="1"/>
      <c r="BB79" s="1"/>
      <c r="BC79" s="1"/>
      <c r="BD79" s="1"/>
      <c r="BE79" s="1"/>
      <c r="BF79" s="1"/>
      <c r="BG79" s="1"/>
      <c r="BH79" s="1"/>
      <c r="BI79" s="1"/>
      <c r="BJ79" s="1"/>
      <c r="BK79" s="1"/>
      <c r="BL79" s="1"/>
      <c r="BM79" s="1"/>
      <c r="BN79" s="1"/>
      <c r="BO79" s="1"/>
      <c r="BP79" s="1"/>
      <c r="BQ79" s="1"/>
      <c r="BR79" s="1"/>
      <c r="BS79" s="1"/>
      <c r="BT79" s="1"/>
    </row>
    <row r="80" spans="1:72" ht="15.75" x14ac:dyDescent="0.25">
      <c r="A80" s="240" t="s">
        <v>7</v>
      </c>
      <c r="B80" s="240"/>
      <c r="C80" s="240"/>
      <c r="D80" s="240"/>
      <c r="E80" s="28" t="s">
        <v>8</v>
      </c>
      <c r="F80" s="118" t="s">
        <v>9</v>
      </c>
      <c r="G80" s="118" t="s">
        <v>10</v>
      </c>
      <c r="H80" s="118" t="s">
        <v>0</v>
      </c>
      <c r="I80" s="38"/>
      <c r="J80" s="130"/>
      <c r="K80" s="130"/>
      <c r="L80" s="130"/>
      <c r="M80" s="130"/>
      <c r="N80" s="130"/>
      <c r="O80" s="16"/>
      <c r="P80" s="16"/>
      <c r="Q80" s="16"/>
      <c r="R80" s="16"/>
      <c r="S80" s="16"/>
      <c r="T80" s="16"/>
      <c r="U80" s="16"/>
      <c r="V80" s="16"/>
      <c r="W80" s="16"/>
      <c r="X80" s="16"/>
      <c r="Y80" s="1"/>
      <c r="Z80" s="120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  <c r="AU80" s="1"/>
      <c r="AV80" s="1"/>
      <c r="AW80" s="1"/>
      <c r="AX80" s="1"/>
      <c r="AY80" s="1"/>
      <c r="AZ80" s="1"/>
      <c r="BA80" s="1"/>
      <c r="BB80" s="1"/>
      <c r="BC80" s="1"/>
      <c r="BD80" s="1"/>
      <c r="BE80" s="1"/>
      <c r="BF80" s="1"/>
      <c r="BG80" s="1"/>
      <c r="BH80" s="1"/>
      <c r="BI80" s="1"/>
      <c r="BJ80" s="1"/>
      <c r="BK80" s="1"/>
      <c r="BL80" s="1"/>
      <c r="BM80" s="1"/>
      <c r="BN80" s="1"/>
      <c r="BO80" s="1"/>
      <c r="BP80" s="1"/>
      <c r="BQ80" s="1"/>
      <c r="BR80" s="1"/>
      <c r="BS80" s="1"/>
      <c r="BT80" s="1"/>
    </row>
    <row r="81" spans="1:72" ht="24" customHeight="1" x14ac:dyDescent="0.25">
      <c r="A81" s="242" t="s">
        <v>77</v>
      </c>
      <c r="B81" s="242"/>
      <c r="C81" s="242"/>
      <c r="D81" s="242"/>
      <c r="E81" s="39" t="s">
        <v>11</v>
      </c>
      <c r="F81" s="128">
        <v>2</v>
      </c>
      <c r="G81" s="29">
        <v>450</v>
      </c>
      <c r="H81" s="20">
        <f>F81*G81</f>
        <v>900</v>
      </c>
      <c r="I81" s="131"/>
      <c r="J81" s="130"/>
      <c r="K81" s="130"/>
      <c r="L81" s="130"/>
      <c r="M81" s="130"/>
      <c r="N81" s="130"/>
      <c r="O81" s="16"/>
      <c r="P81" s="16"/>
      <c r="Q81" s="16"/>
      <c r="R81" s="16"/>
      <c r="S81" s="16"/>
      <c r="T81" s="16"/>
      <c r="U81" s="16"/>
      <c r="V81" s="16"/>
      <c r="W81" s="16"/>
      <c r="X81" s="16"/>
      <c r="Y81" s="1"/>
      <c r="Z81" s="120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  <c r="AV81" s="1"/>
      <c r="AW81" s="1"/>
      <c r="AX81" s="1"/>
      <c r="AY81" s="1"/>
      <c r="AZ81" s="1"/>
      <c r="BA81" s="1"/>
      <c r="BB81" s="1"/>
      <c r="BC81" s="1"/>
      <c r="BD81" s="1"/>
      <c r="BE81" s="1"/>
      <c r="BF81" s="1"/>
      <c r="BG81" s="1"/>
      <c r="BH81" s="1"/>
      <c r="BI81" s="1"/>
      <c r="BJ81" s="1"/>
      <c r="BK81" s="1"/>
      <c r="BL81" s="1"/>
      <c r="BM81" s="1"/>
      <c r="BN81" s="1"/>
      <c r="BO81" s="1"/>
      <c r="BP81" s="1"/>
      <c r="BQ81" s="1"/>
      <c r="BR81" s="1"/>
      <c r="BS81" s="1"/>
      <c r="BT81" s="1"/>
    </row>
    <row r="82" spans="1:72" ht="15.75" x14ac:dyDescent="0.25">
      <c r="A82" s="16"/>
      <c r="B82" s="16"/>
      <c r="C82" s="16"/>
      <c r="D82" s="16"/>
      <c r="E82" s="16"/>
      <c r="F82" s="16"/>
      <c r="G82" s="118"/>
      <c r="H82" s="34">
        <f>SUM(H81)</f>
        <v>900</v>
      </c>
      <c r="I82" s="131"/>
      <c r="J82" s="130"/>
      <c r="K82" s="130"/>
      <c r="L82" s="130"/>
      <c r="M82" s="130"/>
      <c r="N82" s="130"/>
      <c r="O82" s="16"/>
      <c r="P82" s="16"/>
      <c r="Q82" s="16"/>
      <c r="R82" s="16"/>
      <c r="S82" s="16"/>
      <c r="T82" s="16"/>
      <c r="U82" s="16"/>
      <c r="V82" s="16"/>
      <c r="W82" s="16"/>
      <c r="X82" s="16"/>
      <c r="Y82" s="1"/>
      <c r="Z82" s="120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  <c r="AV82" s="1"/>
      <c r="AW82" s="1"/>
      <c r="AX82" s="1"/>
      <c r="AY82" s="1"/>
      <c r="AZ82" s="1"/>
      <c r="BA82" s="1"/>
      <c r="BB82" s="1"/>
      <c r="BC82" s="1"/>
      <c r="BD82" s="1"/>
      <c r="BE82" s="1"/>
      <c r="BF82" s="1"/>
      <c r="BG82" s="1"/>
      <c r="BH82" s="1"/>
      <c r="BI82" s="1"/>
      <c r="BJ82" s="1"/>
      <c r="BK82" s="1"/>
      <c r="BL82" s="1"/>
      <c r="BM82" s="1"/>
      <c r="BN82" s="1"/>
      <c r="BO82" s="1"/>
      <c r="BP82" s="1"/>
      <c r="BQ82" s="1"/>
      <c r="BR82" s="1"/>
      <c r="BS82" s="1"/>
      <c r="BT82" s="1"/>
    </row>
    <row r="83" spans="1:72" ht="15.75" x14ac:dyDescent="0.25">
      <c r="A83" s="243" t="s">
        <v>78</v>
      </c>
      <c r="B83" s="243"/>
      <c r="C83" s="16"/>
      <c r="D83" s="16"/>
      <c r="E83" s="16"/>
      <c r="F83" s="16"/>
      <c r="G83" s="16"/>
      <c r="H83" s="1"/>
      <c r="I83" s="132"/>
      <c r="J83" s="130"/>
      <c r="K83" s="130"/>
      <c r="L83" s="130"/>
      <c r="M83" s="130"/>
      <c r="N83" s="130"/>
      <c r="O83" s="16"/>
      <c r="P83" s="16"/>
      <c r="Q83" s="16"/>
      <c r="R83" s="16"/>
      <c r="S83" s="16"/>
      <c r="T83" s="16"/>
      <c r="U83" s="16"/>
      <c r="V83" s="16"/>
      <c r="W83" s="16"/>
      <c r="X83" s="16"/>
      <c r="Y83" s="1"/>
      <c r="Z83" s="120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  <c r="AV83" s="1"/>
      <c r="AW83" s="1"/>
      <c r="AX83" s="1"/>
      <c r="AY83" s="1"/>
      <c r="AZ83" s="1"/>
      <c r="BA83" s="1"/>
      <c r="BB83" s="1"/>
      <c r="BC83" s="1"/>
      <c r="BD83" s="1"/>
      <c r="BE83" s="1"/>
      <c r="BF83" s="1"/>
      <c r="BG83" s="1"/>
      <c r="BH83" s="1"/>
      <c r="BI83" s="1"/>
      <c r="BJ83" s="1"/>
      <c r="BK83" s="1"/>
      <c r="BL83" s="1"/>
      <c r="BM83" s="1"/>
      <c r="BN83" s="1"/>
      <c r="BO83" s="1"/>
      <c r="BP83" s="1"/>
      <c r="BQ83" s="1"/>
      <c r="BR83" s="1"/>
      <c r="BS83" s="1"/>
      <c r="BT83" s="1"/>
    </row>
    <row r="84" spans="1:72" ht="15.75" x14ac:dyDescent="0.25">
      <c r="A84" s="240" t="s">
        <v>7</v>
      </c>
      <c r="B84" s="240"/>
      <c r="C84" s="240"/>
      <c r="D84" s="240"/>
      <c r="E84" s="28" t="s">
        <v>8</v>
      </c>
      <c r="F84" s="118" t="s">
        <v>9</v>
      </c>
      <c r="G84" s="118" t="s">
        <v>10</v>
      </c>
      <c r="H84" s="118" t="s">
        <v>0</v>
      </c>
      <c r="I84" s="38"/>
      <c r="J84" s="16"/>
      <c r="K84" s="16"/>
      <c r="L84" s="133"/>
      <c r="M84" s="16"/>
      <c r="N84" s="16"/>
      <c r="O84" s="16"/>
      <c r="P84" s="16"/>
      <c r="Q84" s="16"/>
      <c r="R84" s="16"/>
      <c r="S84" s="16"/>
      <c r="T84" s="16"/>
      <c r="U84" s="16"/>
      <c r="V84" s="16"/>
      <c r="W84" s="16"/>
      <c r="X84" s="16"/>
      <c r="Y84" s="1"/>
      <c r="Z84" s="120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  <c r="AV84" s="1"/>
      <c r="AW84" s="1"/>
      <c r="AX84" s="1"/>
      <c r="AY84" s="1"/>
      <c r="AZ84" s="1"/>
      <c r="BA84" s="1"/>
      <c r="BB84" s="1"/>
      <c r="BC84" s="1"/>
      <c r="BD84" s="1"/>
      <c r="BE84" s="1"/>
      <c r="BF84" s="1"/>
      <c r="BG84" s="1"/>
      <c r="BH84" s="1"/>
      <c r="BI84" s="1"/>
      <c r="BJ84" s="1"/>
      <c r="BK84" s="1"/>
      <c r="BL84" s="1"/>
      <c r="BM84" s="1"/>
      <c r="BN84" s="1"/>
      <c r="BO84" s="1"/>
      <c r="BP84" s="1"/>
      <c r="BQ84" s="1"/>
      <c r="BR84" s="1"/>
      <c r="BS84" s="1"/>
      <c r="BT84" s="1"/>
    </row>
    <row r="85" spans="1:72" ht="18.600000000000001" customHeight="1" x14ac:dyDescent="0.25">
      <c r="A85" s="241" t="s">
        <v>79</v>
      </c>
      <c r="B85" s="242"/>
      <c r="C85" s="242"/>
      <c r="D85" s="242"/>
      <c r="E85" s="32" t="s">
        <v>80</v>
      </c>
      <c r="F85" s="128">
        <v>0</v>
      </c>
      <c r="G85" s="29">
        <v>900</v>
      </c>
      <c r="H85" s="20">
        <f>F85*G85</f>
        <v>0</v>
      </c>
      <c r="I85" s="22"/>
      <c r="J85" s="16"/>
      <c r="K85" s="16"/>
      <c r="L85" s="16"/>
      <c r="M85" s="16"/>
      <c r="N85" s="16"/>
      <c r="O85" s="16"/>
      <c r="P85" s="16"/>
      <c r="Q85" s="16"/>
      <c r="R85" s="16"/>
      <c r="S85" s="16"/>
      <c r="T85" s="16"/>
      <c r="U85" s="16"/>
      <c r="V85" s="16"/>
      <c r="W85" s="16"/>
      <c r="X85" s="16"/>
      <c r="Y85" s="1"/>
      <c r="Z85" s="120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  <c r="AV85" s="1"/>
      <c r="AW85" s="1"/>
      <c r="AX85" s="1"/>
      <c r="AY85" s="1"/>
      <c r="AZ85" s="1"/>
      <c r="BA85" s="1"/>
      <c r="BB85" s="1"/>
      <c r="BC85" s="1"/>
      <c r="BD85" s="1"/>
      <c r="BE85" s="1"/>
      <c r="BF85" s="1"/>
      <c r="BG85" s="1"/>
      <c r="BH85" s="1"/>
      <c r="BI85" s="1"/>
      <c r="BJ85" s="1"/>
      <c r="BK85" s="1"/>
      <c r="BL85" s="1"/>
      <c r="BM85" s="1"/>
      <c r="BN85" s="1"/>
      <c r="BO85" s="1"/>
      <c r="BP85" s="1"/>
      <c r="BQ85" s="1"/>
      <c r="BR85" s="1"/>
      <c r="BS85" s="1"/>
      <c r="BT85" s="1"/>
    </row>
    <row r="86" spans="1:72" ht="15.75" x14ac:dyDescent="0.25">
      <c r="A86" s="16"/>
      <c r="B86" s="16"/>
      <c r="C86" s="16"/>
      <c r="D86" s="16"/>
      <c r="E86" s="16"/>
      <c r="F86" s="16"/>
      <c r="G86" s="118" t="s">
        <v>81</v>
      </c>
      <c r="H86" s="34">
        <f>SUM(H85)</f>
        <v>0</v>
      </c>
      <c r="I86" s="22"/>
      <c r="J86" s="16"/>
      <c r="K86" s="16"/>
      <c r="L86" s="16"/>
      <c r="M86" s="16"/>
      <c r="N86" s="16"/>
      <c r="O86" s="16"/>
      <c r="P86" s="16"/>
      <c r="Q86" s="16"/>
      <c r="R86" s="16"/>
      <c r="S86" s="16"/>
      <c r="T86" s="16"/>
      <c r="U86" s="16"/>
      <c r="V86" s="16"/>
      <c r="W86" s="16"/>
      <c r="X86" s="16"/>
      <c r="Y86" s="1"/>
      <c r="Z86" s="120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/>
      <c r="AV86" s="1"/>
      <c r="AW86" s="1"/>
      <c r="AX86" s="1"/>
      <c r="AY86" s="1"/>
      <c r="AZ86" s="1"/>
      <c r="BA86" s="1"/>
      <c r="BB86" s="1"/>
      <c r="BC86" s="1"/>
      <c r="BD86" s="1"/>
      <c r="BE86" s="1"/>
      <c r="BF86" s="1"/>
      <c r="BG86" s="1"/>
      <c r="BH86" s="1"/>
      <c r="BI86" s="1"/>
      <c r="BJ86" s="1"/>
      <c r="BK86" s="1"/>
      <c r="BL86" s="1"/>
      <c r="BM86" s="1"/>
      <c r="BN86" s="1"/>
      <c r="BO86" s="1"/>
      <c r="BP86" s="1"/>
      <c r="BQ86" s="1"/>
      <c r="BR86" s="1"/>
      <c r="BS86" s="1"/>
      <c r="BT86" s="1"/>
    </row>
    <row r="87" spans="1:72" ht="15.75" x14ac:dyDescent="0.25">
      <c r="A87" s="16"/>
      <c r="B87" s="16"/>
      <c r="C87" s="16"/>
      <c r="D87" s="16"/>
      <c r="E87" s="16"/>
      <c r="F87" s="16"/>
      <c r="G87" s="118" t="s">
        <v>82</v>
      </c>
      <c r="H87" s="34">
        <f>H67+H72+H77+H82+H86+H56+H55+H27</f>
        <v>5220</v>
      </c>
      <c r="I87" s="134"/>
      <c r="J87" s="62"/>
      <c r="K87" s="16"/>
      <c r="L87" s="16"/>
      <c r="M87" s="16"/>
      <c r="N87" s="16"/>
      <c r="O87" s="16"/>
      <c r="P87" s="16"/>
      <c r="Q87" s="16"/>
      <c r="R87" s="16"/>
      <c r="S87" s="16"/>
      <c r="T87" s="16"/>
      <c r="U87" s="16"/>
      <c r="V87" s="16"/>
      <c r="W87" s="16"/>
      <c r="X87" s="16"/>
      <c r="Y87" s="1"/>
      <c r="Z87" s="120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  <c r="AV87" s="1"/>
      <c r="AW87" s="1"/>
      <c r="AX87" s="1"/>
      <c r="AY87" s="1"/>
      <c r="AZ87" s="1"/>
      <c r="BA87" s="1"/>
      <c r="BB87" s="1"/>
      <c r="BC87" s="1"/>
      <c r="BD87" s="1"/>
      <c r="BE87" s="1"/>
      <c r="BF87" s="1"/>
      <c r="BG87" s="1"/>
      <c r="BH87" s="1"/>
      <c r="BI87" s="1"/>
      <c r="BJ87" s="1"/>
      <c r="BK87" s="1"/>
      <c r="BL87" s="1"/>
      <c r="BM87" s="1"/>
      <c r="BN87" s="1"/>
      <c r="BO87" s="1"/>
      <c r="BP87" s="1"/>
      <c r="BQ87" s="1"/>
      <c r="BR87" s="1"/>
      <c r="BS87" s="1"/>
      <c r="BT87" s="1"/>
    </row>
    <row r="88" spans="1:72" ht="15.75" x14ac:dyDescent="0.25">
      <c r="A88" s="3" t="s">
        <v>83</v>
      </c>
      <c r="B88" s="7"/>
      <c r="C88" s="7"/>
      <c r="D88" s="16"/>
      <c r="E88" s="16"/>
      <c r="F88" s="16"/>
      <c r="G88" s="1"/>
      <c r="H88" s="42"/>
      <c r="I88" s="9"/>
      <c r="J88" s="62"/>
      <c r="K88" s="7"/>
      <c r="L88" s="16"/>
      <c r="M88" s="16"/>
      <c r="N88" s="16"/>
      <c r="O88" s="16"/>
      <c r="P88" s="16"/>
      <c r="Q88" s="16"/>
      <c r="R88" s="16"/>
      <c r="S88" s="16"/>
      <c r="T88" s="16"/>
      <c r="U88" s="16"/>
      <c r="V88" s="16"/>
      <c r="W88" s="16"/>
      <c r="X88" s="16"/>
      <c r="Y88" s="1"/>
      <c r="Z88" s="120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"/>
      <c r="AV88" s="1"/>
      <c r="AW88" s="1"/>
      <c r="AX88" s="1"/>
      <c r="AY88" s="1"/>
      <c r="AZ88" s="1"/>
      <c r="BA88" s="1"/>
      <c r="BB88" s="1"/>
      <c r="BC88" s="1"/>
      <c r="BD88" s="1"/>
      <c r="BE88" s="1"/>
      <c r="BF88" s="1"/>
      <c r="BG88" s="1"/>
      <c r="BH88" s="1"/>
      <c r="BI88" s="1"/>
      <c r="BJ88" s="1"/>
      <c r="BK88" s="1"/>
      <c r="BL88" s="1"/>
      <c r="BM88" s="1"/>
      <c r="BN88" s="1"/>
      <c r="BO88" s="1"/>
      <c r="BP88" s="1"/>
      <c r="BQ88" s="1"/>
      <c r="BR88" s="1"/>
      <c r="BS88" s="1"/>
      <c r="BT88" s="1"/>
    </row>
    <row r="89" spans="1:72" ht="15.75" x14ac:dyDescent="0.25">
      <c r="A89" s="246" t="s">
        <v>7</v>
      </c>
      <c r="B89" s="246"/>
      <c r="C89" s="246"/>
      <c r="D89" s="246"/>
      <c r="E89" s="43" t="s">
        <v>8</v>
      </c>
      <c r="F89" s="119" t="s">
        <v>9</v>
      </c>
      <c r="G89" s="119" t="s">
        <v>10</v>
      </c>
      <c r="H89" s="44" t="s">
        <v>0</v>
      </c>
      <c r="I89" s="45" t="s">
        <v>84</v>
      </c>
      <c r="J89" s="46"/>
      <c r="K89" s="46" t="s">
        <v>85</v>
      </c>
      <c r="L89" s="47"/>
      <c r="M89" s="16"/>
      <c r="N89" s="16"/>
      <c r="O89" s="16"/>
      <c r="P89" s="16"/>
      <c r="Q89" s="16"/>
      <c r="R89" s="16"/>
      <c r="S89" s="16"/>
      <c r="T89" s="16"/>
      <c r="U89" s="16"/>
      <c r="V89" s="16"/>
      <c r="W89" s="16"/>
      <c r="X89" s="16"/>
      <c r="Y89" s="1"/>
      <c r="Z89" s="120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  <c r="AV89" s="1"/>
      <c r="AW89" s="1"/>
      <c r="AX89" s="1"/>
      <c r="AY89" s="1"/>
      <c r="AZ89" s="1"/>
      <c r="BA89" s="1"/>
      <c r="BB89" s="1"/>
      <c r="BC89" s="1"/>
      <c r="BD89" s="1"/>
      <c r="BE89" s="1"/>
      <c r="BF89" s="1"/>
      <c r="BG89" s="1"/>
      <c r="BH89" s="1"/>
      <c r="BI89" s="1"/>
      <c r="BJ89" s="1"/>
      <c r="BK89" s="1"/>
      <c r="BL89" s="1"/>
      <c r="BM89" s="1"/>
      <c r="BN89" s="1"/>
      <c r="BO89" s="1"/>
      <c r="BP89" s="1"/>
      <c r="BQ89" s="1"/>
      <c r="BR89" s="1"/>
      <c r="BS89" s="1"/>
      <c r="BT89" s="1"/>
    </row>
    <row r="90" spans="1:72" ht="15.75" x14ac:dyDescent="0.25">
      <c r="A90" s="241" t="s">
        <v>86</v>
      </c>
      <c r="B90" s="242"/>
      <c r="C90" s="242"/>
      <c r="D90" s="242"/>
      <c r="E90" s="123" t="s">
        <v>87</v>
      </c>
      <c r="F90" s="128"/>
      <c r="G90" s="36">
        <v>2200</v>
      </c>
      <c r="H90" s="48">
        <f>(F90*G90)</f>
        <v>0</v>
      </c>
      <c r="I90" s="49"/>
      <c r="J90" s="50"/>
      <c r="K90" s="51"/>
      <c r="L90" s="62"/>
      <c r="M90" s="16"/>
      <c r="N90" s="16"/>
      <c r="O90" s="16"/>
      <c r="P90" s="16"/>
      <c r="Q90" s="16"/>
      <c r="R90" s="16"/>
      <c r="S90" s="16"/>
      <c r="T90" s="16"/>
      <c r="U90" s="16"/>
      <c r="V90" s="16"/>
      <c r="W90" s="16"/>
      <c r="X90" s="16"/>
      <c r="Y90" s="1"/>
      <c r="Z90" s="120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  <c r="AV90" s="1"/>
      <c r="AW90" s="1"/>
      <c r="AX90" s="1"/>
      <c r="AY90" s="1"/>
      <c r="AZ90" s="1"/>
      <c r="BA90" s="1"/>
      <c r="BB90" s="1"/>
      <c r="BC90" s="1"/>
      <c r="BD90" s="1"/>
      <c r="BE90" s="1"/>
      <c r="BF90" s="1"/>
      <c r="BG90" s="1"/>
      <c r="BH90" s="1"/>
      <c r="BI90" s="1"/>
      <c r="BJ90" s="1"/>
      <c r="BK90" s="1"/>
      <c r="BL90" s="1"/>
      <c r="BM90" s="1"/>
      <c r="BN90" s="1"/>
      <c r="BO90" s="1"/>
      <c r="BP90" s="1"/>
      <c r="BQ90" s="1"/>
      <c r="BR90" s="1"/>
      <c r="BS90" s="1"/>
      <c r="BT90" s="1"/>
    </row>
    <row r="91" spans="1:72" ht="15.75" x14ac:dyDescent="0.25">
      <c r="A91" s="241" t="s">
        <v>88</v>
      </c>
      <c r="B91" s="242"/>
      <c r="C91" s="242"/>
      <c r="D91" s="242"/>
      <c r="E91" s="123" t="s">
        <v>87</v>
      </c>
      <c r="F91" s="128"/>
      <c r="G91" s="36">
        <v>2000</v>
      </c>
      <c r="H91" s="48">
        <f t="shared" ref="H91:H108" si="9">(F91*G91)</f>
        <v>0</v>
      </c>
      <c r="I91" s="49"/>
      <c r="J91" s="50"/>
      <c r="K91" s="51"/>
      <c r="L91" s="62"/>
      <c r="M91" s="16"/>
      <c r="N91" s="16"/>
      <c r="O91" s="16"/>
      <c r="P91" s="16"/>
      <c r="Q91" s="16"/>
      <c r="R91" s="16"/>
      <c r="S91" s="16"/>
      <c r="T91" s="16"/>
      <c r="U91" s="16"/>
      <c r="V91" s="16"/>
      <c r="W91" s="16"/>
      <c r="X91" s="16"/>
      <c r="Y91" s="1"/>
      <c r="Z91" s="120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  <c r="AV91" s="1"/>
      <c r="AW91" s="1"/>
      <c r="AX91" s="1"/>
      <c r="AY91" s="1"/>
      <c r="AZ91" s="1"/>
      <c r="BA91" s="1"/>
      <c r="BB91" s="1"/>
      <c r="BC91" s="1"/>
      <c r="BD91" s="1"/>
      <c r="BE91" s="1"/>
      <c r="BF91" s="1"/>
      <c r="BG91" s="1"/>
      <c r="BH91" s="1"/>
      <c r="BI91" s="1"/>
      <c r="BJ91" s="1"/>
      <c r="BK91" s="1"/>
      <c r="BL91" s="1"/>
      <c r="BM91" s="1"/>
      <c r="BN91" s="1"/>
      <c r="BO91" s="1"/>
      <c r="BP91" s="1"/>
      <c r="BQ91" s="1"/>
      <c r="BR91" s="1"/>
      <c r="BS91" s="1"/>
      <c r="BT91" s="1"/>
    </row>
    <row r="92" spans="1:72" ht="15.75" x14ac:dyDescent="0.25">
      <c r="A92" s="241" t="s">
        <v>89</v>
      </c>
      <c r="B92" s="242"/>
      <c r="C92" s="242"/>
      <c r="D92" s="242"/>
      <c r="E92" s="123" t="s">
        <v>87</v>
      </c>
      <c r="F92" s="128"/>
      <c r="G92" s="36">
        <v>7000</v>
      </c>
      <c r="H92" s="48">
        <f t="shared" si="9"/>
        <v>0</v>
      </c>
      <c r="I92" s="49"/>
      <c r="J92" s="50"/>
      <c r="K92" s="51"/>
      <c r="L92" s="62"/>
      <c r="M92" s="16"/>
      <c r="N92" s="16"/>
      <c r="O92" s="16"/>
      <c r="P92" s="16"/>
      <c r="Q92" s="16"/>
      <c r="R92" s="16"/>
      <c r="S92" s="16"/>
      <c r="T92" s="16"/>
      <c r="U92" s="16"/>
      <c r="V92" s="16"/>
      <c r="W92" s="16"/>
      <c r="X92" s="16"/>
      <c r="Y92" s="1"/>
      <c r="Z92" s="120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  <c r="AU92" s="1"/>
      <c r="AV92" s="1"/>
      <c r="AW92" s="1"/>
      <c r="AX92" s="1"/>
      <c r="AY92" s="1"/>
      <c r="AZ92" s="1"/>
      <c r="BA92" s="1"/>
      <c r="BB92" s="1"/>
      <c r="BC92" s="1"/>
      <c r="BD92" s="1"/>
      <c r="BE92" s="1"/>
      <c r="BF92" s="1"/>
      <c r="BG92" s="1"/>
      <c r="BH92" s="1"/>
      <c r="BI92" s="1"/>
      <c r="BJ92" s="1"/>
      <c r="BK92" s="1"/>
      <c r="BL92" s="1"/>
      <c r="BM92" s="1"/>
      <c r="BN92" s="1"/>
      <c r="BO92" s="1"/>
      <c r="BP92" s="1"/>
      <c r="BQ92" s="1"/>
      <c r="BR92" s="1"/>
      <c r="BS92" s="1"/>
      <c r="BT92" s="1"/>
    </row>
    <row r="93" spans="1:72" ht="15.75" x14ac:dyDescent="0.25">
      <c r="A93" s="241" t="s">
        <v>90</v>
      </c>
      <c r="B93" s="242"/>
      <c r="C93" s="242"/>
      <c r="D93" s="242"/>
      <c r="E93" s="123" t="s">
        <v>87</v>
      </c>
      <c r="F93" s="128"/>
      <c r="G93" s="36">
        <v>15200</v>
      </c>
      <c r="H93" s="48">
        <f t="shared" si="9"/>
        <v>0</v>
      </c>
      <c r="I93" s="49"/>
      <c r="J93" s="50"/>
      <c r="K93" s="51"/>
      <c r="L93" s="62"/>
      <c r="M93" s="16"/>
      <c r="N93" s="16"/>
      <c r="O93" s="16"/>
      <c r="P93" s="16"/>
      <c r="Q93" s="16"/>
      <c r="R93" s="16"/>
      <c r="S93" s="16"/>
      <c r="T93" s="16"/>
      <c r="U93" s="16"/>
      <c r="V93" s="16"/>
      <c r="W93" s="16"/>
      <c r="X93" s="16"/>
      <c r="Y93" s="1"/>
      <c r="Z93" s="120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/>
      <c r="AV93" s="1"/>
      <c r="AW93" s="1"/>
      <c r="AX93" s="1"/>
      <c r="AY93" s="1"/>
      <c r="AZ93" s="1"/>
      <c r="BA93" s="1"/>
      <c r="BB93" s="1"/>
      <c r="BC93" s="1"/>
      <c r="BD93" s="1"/>
      <c r="BE93" s="1"/>
      <c r="BF93" s="1"/>
      <c r="BG93" s="1"/>
      <c r="BH93" s="1"/>
      <c r="BI93" s="1"/>
      <c r="BJ93" s="1"/>
      <c r="BK93" s="1"/>
      <c r="BL93" s="1"/>
      <c r="BM93" s="1"/>
      <c r="BN93" s="1"/>
      <c r="BO93" s="1"/>
      <c r="BP93" s="1"/>
      <c r="BQ93" s="1"/>
      <c r="BR93" s="1"/>
      <c r="BS93" s="1"/>
      <c r="BT93" s="1"/>
    </row>
    <row r="94" spans="1:72" ht="15.75" x14ac:dyDescent="0.25">
      <c r="A94" s="247" t="s">
        <v>91</v>
      </c>
      <c r="B94" s="248"/>
      <c r="C94" s="248"/>
      <c r="D94" s="248"/>
      <c r="E94" s="52" t="s">
        <v>87</v>
      </c>
      <c r="F94" s="128"/>
      <c r="G94" s="53">
        <v>2200</v>
      </c>
      <c r="H94" s="54">
        <f t="shared" si="9"/>
        <v>0</v>
      </c>
      <c r="I94" s="55"/>
      <c r="J94" s="50"/>
      <c r="K94" s="51"/>
      <c r="L94" s="62"/>
      <c r="M94" s="16"/>
      <c r="N94" s="16"/>
      <c r="O94" s="16"/>
      <c r="P94" s="16"/>
      <c r="Q94" s="16"/>
      <c r="R94" s="16"/>
      <c r="S94" s="16"/>
      <c r="T94" s="16"/>
      <c r="U94" s="16"/>
      <c r="V94" s="16"/>
      <c r="W94" s="16"/>
      <c r="X94" s="16"/>
      <c r="Y94" s="1"/>
      <c r="Z94" s="120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/>
      <c r="AV94" s="1"/>
      <c r="AW94" s="1"/>
      <c r="AX94" s="1"/>
      <c r="AY94" s="1"/>
      <c r="AZ94" s="1"/>
      <c r="BA94" s="1"/>
      <c r="BB94" s="1"/>
      <c r="BC94" s="1"/>
      <c r="BD94" s="1"/>
      <c r="BE94" s="1"/>
      <c r="BF94" s="1"/>
      <c r="BG94" s="1"/>
      <c r="BH94" s="1"/>
      <c r="BI94" s="1"/>
      <c r="BJ94" s="1"/>
      <c r="BK94" s="1"/>
      <c r="BL94" s="1"/>
      <c r="BM94" s="1"/>
      <c r="BN94" s="1"/>
      <c r="BO94" s="1"/>
      <c r="BP94" s="1"/>
      <c r="BQ94" s="1"/>
      <c r="BR94" s="1"/>
      <c r="BS94" s="1"/>
      <c r="BT94" s="1"/>
    </row>
    <row r="95" spans="1:72" ht="15.75" x14ac:dyDescent="0.25">
      <c r="A95" s="241" t="s">
        <v>92</v>
      </c>
      <c r="B95" s="242"/>
      <c r="C95" s="242"/>
      <c r="D95" s="242"/>
      <c r="E95" s="123" t="s">
        <v>87</v>
      </c>
      <c r="F95" s="128"/>
      <c r="G95" s="36">
        <v>2000</v>
      </c>
      <c r="H95" s="48">
        <f t="shared" si="9"/>
        <v>0</v>
      </c>
      <c r="I95" s="49"/>
      <c r="J95" s="50"/>
      <c r="K95" s="51"/>
      <c r="L95" s="62"/>
      <c r="M95" s="16"/>
      <c r="N95" s="16"/>
      <c r="O95" s="16"/>
      <c r="P95" s="16"/>
      <c r="Q95" s="16"/>
      <c r="R95" s="16"/>
      <c r="S95" s="16"/>
      <c r="T95" s="16"/>
      <c r="U95" s="16"/>
      <c r="V95" s="16"/>
      <c r="W95" s="16"/>
      <c r="X95" s="16"/>
      <c r="Y95" s="1"/>
      <c r="Z95" s="120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  <c r="AV95" s="1"/>
      <c r="AW95" s="1"/>
      <c r="AX95" s="1"/>
      <c r="AY95" s="1"/>
      <c r="AZ95" s="1"/>
      <c r="BA95" s="1"/>
      <c r="BB95" s="1"/>
      <c r="BC95" s="1"/>
      <c r="BD95" s="1"/>
      <c r="BE95" s="1"/>
      <c r="BF95" s="1"/>
      <c r="BG95" s="1"/>
      <c r="BH95" s="1"/>
      <c r="BI95" s="1"/>
      <c r="BJ95" s="1"/>
      <c r="BK95" s="1"/>
      <c r="BL95" s="1"/>
      <c r="BM95" s="1"/>
      <c r="BN95" s="1"/>
      <c r="BO95" s="1"/>
      <c r="BP95" s="1"/>
      <c r="BQ95" s="1"/>
      <c r="BR95" s="1"/>
      <c r="BS95" s="1"/>
      <c r="BT95" s="1"/>
    </row>
    <row r="96" spans="1:72" ht="15.75" x14ac:dyDescent="0.25">
      <c r="A96" s="247" t="s">
        <v>93</v>
      </c>
      <c r="B96" s="248"/>
      <c r="C96" s="248"/>
      <c r="D96" s="248"/>
      <c r="E96" s="52" t="s">
        <v>87</v>
      </c>
      <c r="F96" s="128"/>
      <c r="G96" s="53">
        <v>2500</v>
      </c>
      <c r="H96" s="54">
        <f t="shared" si="9"/>
        <v>0</v>
      </c>
      <c r="I96" s="55"/>
      <c r="J96" s="50"/>
      <c r="K96" s="51"/>
      <c r="L96" s="62"/>
      <c r="M96" s="16"/>
      <c r="N96" s="16"/>
      <c r="O96" s="16"/>
      <c r="P96" s="16"/>
      <c r="Q96" s="16"/>
      <c r="R96" s="16"/>
      <c r="S96" s="16"/>
      <c r="T96" s="16"/>
      <c r="U96" s="16"/>
      <c r="V96" s="16"/>
      <c r="W96" s="16"/>
      <c r="X96" s="16"/>
      <c r="Y96" s="1"/>
      <c r="Z96" s="120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  <c r="AV96" s="1"/>
      <c r="AW96" s="1"/>
      <c r="AX96" s="1"/>
      <c r="AY96" s="1"/>
      <c r="AZ96" s="1"/>
      <c r="BA96" s="1"/>
      <c r="BB96" s="1"/>
      <c r="BC96" s="1"/>
      <c r="BD96" s="1"/>
      <c r="BE96" s="1"/>
      <c r="BF96" s="1"/>
      <c r="BG96" s="1"/>
      <c r="BH96" s="1"/>
      <c r="BI96" s="1"/>
      <c r="BJ96" s="1"/>
      <c r="BK96" s="1"/>
      <c r="BL96" s="1"/>
      <c r="BM96" s="1"/>
      <c r="BN96" s="1"/>
      <c r="BO96" s="1"/>
      <c r="BP96" s="1"/>
      <c r="BQ96" s="1"/>
      <c r="BR96" s="1"/>
      <c r="BS96" s="1"/>
      <c r="BT96" s="1"/>
    </row>
    <row r="97" spans="1:72" ht="15.75" x14ac:dyDescent="0.25">
      <c r="A97" s="241" t="s">
        <v>94</v>
      </c>
      <c r="B97" s="242"/>
      <c r="C97" s="242"/>
      <c r="D97" s="242"/>
      <c r="E97" s="123" t="s">
        <v>87</v>
      </c>
      <c r="F97" s="128"/>
      <c r="G97" s="36">
        <v>1600</v>
      </c>
      <c r="H97" s="48">
        <f t="shared" si="9"/>
        <v>0</v>
      </c>
      <c r="I97" s="49"/>
      <c r="J97" s="50"/>
      <c r="K97" s="51"/>
      <c r="L97" s="62"/>
      <c r="M97" s="16"/>
      <c r="N97" s="16"/>
      <c r="O97" s="16"/>
      <c r="P97" s="16"/>
      <c r="Q97" s="16"/>
      <c r="R97" s="16"/>
      <c r="S97" s="16"/>
      <c r="T97" s="16"/>
      <c r="U97" s="16"/>
      <c r="V97" s="16"/>
      <c r="W97" s="16"/>
      <c r="X97" s="16"/>
      <c r="Y97" s="1"/>
      <c r="Z97" s="120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1"/>
      <c r="AV97" s="1"/>
      <c r="AW97" s="1"/>
      <c r="AX97" s="1"/>
      <c r="AY97" s="1"/>
      <c r="AZ97" s="1"/>
      <c r="BA97" s="1"/>
      <c r="BB97" s="1"/>
      <c r="BC97" s="1"/>
      <c r="BD97" s="1"/>
      <c r="BE97" s="1"/>
      <c r="BF97" s="1"/>
      <c r="BG97" s="1"/>
      <c r="BH97" s="1"/>
      <c r="BI97" s="1"/>
      <c r="BJ97" s="1"/>
      <c r="BK97" s="1"/>
      <c r="BL97" s="1"/>
      <c r="BM97" s="1"/>
      <c r="BN97" s="1"/>
      <c r="BO97" s="1"/>
      <c r="BP97" s="1"/>
      <c r="BQ97" s="1"/>
      <c r="BR97" s="1"/>
      <c r="BS97" s="1"/>
      <c r="BT97" s="1"/>
    </row>
    <row r="98" spans="1:72" ht="15.75" x14ac:dyDescent="0.25">
      <c r="A98" s="249" t="s">
        <v>95</v>
      </c>
      <c r="B98" s="250"/>
      <c r="C98" s="250"/>
      <c r="D98" s="250"/>
      <c r="E98" s="56" t="s">
        <v>87</v>
      </c>
      <c r="F98" s="128"/>
      <c r="G98" s="57">
        <v>1100</v>
      </c>
      <c r="H98" s="58">
        <f t="shared" si="9"/>
        <v>0</v>
      </c>
      <c r="I98" s="49"/>
      <c r="J98" s="50"/>
      <c r="K98" s="51"/>
      <c r="L98" s="62"/>
      <c r="M98" s="16"/>
      <c r="N98" s="16"/>
      <c r="O98" s="16"/>
      <c r="P98" s="16"/>
      <c r="Q98" s="16"/>
      <c r="R98" s="16"/>
      <c r="S98" s="16"/>
      <c r="T98" s="16"/>
      <c r="U98" s="16"/>
      <c r="V98" s="16"/>
      <c r="W98" s="16"/>
      <c r="X98" s="16"/>
      <c r="Y98" s="1"/>
      <c r="Z98" s="120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  <c r="AV98" s="1"/>
      <c r="AW98" s="1"/>
      <c r="AX98" s="1"/>
      <c r="AY98" s="1"/>
      <c r="AZ98" s="1"/>
      <c r="BA98" s="1"/>
      <c r="BB98" s="1"/>
      <c r="BC98" s="1"/>
      <c r="BD98" s="1"/>
      <c r="BE98" s="1"/>
      <c r="BF98" s="1"/>
      <c r="BG98" s="1"/>
      <c r="BH98" s="1"/>
      <c r="BI98" s="1"/>
      <c r="BJ98" s="1"/>
      <c r="BK98" s="1"/>
      <c r="BL98" s="1"/>
      <c r="BM98" s="1"/>
      <c r="BN98" s="1"/>
      <c r="BO98" s="1"/>
      <c r="BP98" s="1"/>
      <c r="BQ98" s="1"/>
      <c r="BR98" s="1"/>
      <c r="BS98" s="1"/>
      <c r="BT98" s="1"/>
    </row>
    <row r="99" spans="1:72" ht="15.75" x14ac:dyDescent="0.25">
      <c r="A99" s="241" t="s">
        <v>96</v>
      </c>
      <c r="B99" s="242"/>
      <c r="C99" s="242"/>
      <c r="D99" s="242"/>
      <c r="E99" s="123" t="s">
        <v>87</v>
      </c>
      <c r="F99" s="128"/>
      <c r="G99" s="36">
        <v>2700</v>
      </c>
      <c r="H99" s="48">
        <f t="shared" si="9"/>
        <v>0</v>
      </c>
      <c r="I99" s="59"/>
      <c r="J99" s="50"/>
      <c r="K99" s="51"/>
      <c r="L99" s="62"/>
      <c r="M99" s="16"/>
      <c r="N99" s="16"/>
      <c r="O99" s="16"/>
      <c r="P99" s="16"/>
      <c r="Q99" s="16"/>
      <c r="R99" s="16"/>
      <c r="S99" s="16"/>
      <c r="T99" s="16"/>
      <c r="U99" s="16"/>
      <c r="V99" s="16"/>
      <c r="W99" s="16"/>
      <c r="X99" s="16"/>
      <c r="Y99" s="1"/>
      <c r="Z99" s="120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  <c r="AV99" s="1"/>
      <c r="AW99" s="1"/>
      <c r="AX99" s="1"/>
      <c r="AY99" s="1"/>
      <c r="AZ99" s="1"/>
      <c r="BA99" s="1"/>
      <c r="BB99" s="1"/>
      <c r="BC99" s="1"/>
      <c r="BD99" s="1"/>
      <c r="BE99" s="1"/>
      <c r="BF99" s="1"/>
      <c r="BG99" s="1"/>
      <c r="BH99" s="1"/>
      <c r="BI99" s="1"/>
      <c r="BJ99" s="1"/>
      <c r="BK99" s="1"/>
      <c r="BL99" s="1"/>
      <c r="BM99" s="1"/>
      <c r="BN99" s="1"/>
      <c r="BO99" s="1"/>
      <c r="BP99" s="1"/>
      <c r="BQ99" s="1"/>
      <c r="BR99" s="1"/>
      <c r="BS99" s="1"/>
      <c r="BT99" s="1"/>
    </row>
    <row r="100" spans="1:72" ht="15.75" x14ac:dyDescent="0.25">
      <c r="A100" s="251" t="s">
        <v>97</v>
      </c>
      <c r="B100" s="252"/>
      <c r="C100" s="252"/>
      <c r="D100" s="253"/>
      <c r="E100" s="123" t="s">
        <v>87</v>
      </c>
      <c r="F100" s="128"/>
      <c r="G100" s="36">
        <v>2500</v>
      </c>
      <c r="H100" s="48">
        <f t="shared" si="9"/>
        <v>0</v>
      </c>
      <c r="I100" s="59"/>
      <c r="J100" s="50"/>
      <c r="K100" s="51"/>
      <c r="L100" s="62"/>
      <c r="M100" s="16"/>
      <c r="N100" s="16"/>
      <c r="O100" s="16"/>
      <c r="P100" s="16"/>
      <c r="Q100" s="16"/>
      <c r="R100" s="16"/>
      <c r="S100" s="16"/>
      <c r="T100" s="16"/>
      <c r="U100" s="16"/>
      <c r="V100" s="16"/>
      <c r="W100" s="16"/>
      <c r="X100" s="16"/>
      <c r="Y100" s="1"/>
      <c r="Z100" s="120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  <c r="AV100" s="1"/>
      <c r="AW100" s="1"/>
      <c r="AX100" s="1"/>
      <c r="AY100" s="1"/>
      <c r="AZ100" s="1"/>
      <c r="BA100" s="1"/>
      <c r="BB100" s="1"/>
      <c r="BC100" s="1"/>
      <c r="BD100" s="1"/>
      <c r="BE100" s="1"/>
      <c r="BF100" s="1"/>
      <c r="BG100" s="1"/>
      <c r="BH100" s="1"/>
      <c r="BI100" s="1"/>
      <c r="BJ100" s="1"/>
      <c r="BK100" s="1"/>
      <c r="BL100" s="1"/>
      <c r="BM100" s="1"/>
      <c r="BN100" s="1"/>
      <c r="BO100" s="1"/>
      <c r="BP100" s="1"/>
      <c r="BQ100" s="1"/>
      <c r="BR100" s="1"/>
      <c r="BS100" s="1"/>
      <c r="BT100" s="1"/>
    </row>
    <row r="101" spans="1:72" ht="15.75" x14ac:dyDescent="0.25">
      <c r="A101" s="241" t="s">
        <v>98</v>
      </c>
      <c r="B101" s="242"/>
      <c r="C101" s="242"/>
      <c r="D101" s="242"/>
      <c r="E101" s="123" t="s">
        <v>87</v>
      </c>
      <c r="F101" s="128"/>
      <c r="G101" s="36">
        <v>13373</v>
      </c>
      <c r="H101" s="48">
        <f t="shared" si="9"/>
        <v>0</v>
      </c>
      <c r="I101" s="59"/>
      <c r="J101" s="50"/>
      <c r="K101" s="51"/>
      <c r="L101" s="62"/>
      <c r="M101" s="16"/>
      <c r="N101" s="16"/>
      <c r="O101" s="16"/>
      <c r="P101" s="16"/>
      <c r="Q101" s="16"/>
      <c r="R101" s="16"/>
      <c r="S101" s="16"/>
      <c r="T101" s="16"/>
      <c r="U101" s="16"/>
      <c r="V101" s="16"/>
      <c r="W101" s="16"/>
      <c r="X101" s="16"/>
      <c r="Y101" s="1"/>
      <c r="Z101" s="120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/>
      <c r="AV101" s="1"/>
      <c r="AW101" s="1"/>
      <c r="AX101" s="1"/>
      <c r="AY101" s="1"/>
      <c r="AZ101" s="1"/>
      <c r="BA101" s="1"/>
      <c r="BB101" s="1"/>
      <c r="BC101" s="1"/>
      <c r="BD101" s="1"/>
      <c r="BE101" s="1"/>
      <c r="BF101" s="1"/>
      <c r="BG101" s="1"/>
      <c r="BH101" s="1"/>
      <c r="BI101" s="1"/>
      <c r="BJ101" s="1"/>
      <c r="BK101" s="1"/>
      <c r="BL101" s="1"/>
      <c r="BM101" s="1"/>
      <c r="BN101" s="1"/>
      <c r="BO101" s="1"/>
      <c r="BP101" s="1"/>
      <c r="BQ101" s="1"/>
      <c r="BR101" s="1"/>
      <c r="BS101" s="1"/>
      <c r="BT101" s="1"/>
    </row>
    <row r="102" spans="1:72" ht="15.75" x14ac:dyDescent="0.25">
      <c r="A102" s="251" t="s">
        <v>99</v>
      </c>
      <c r="B102" s="252"/>
      <c r="C102" s="252"/>
      <c r="D102" s="253"/>
      <c r="E102" s="123" t="s">
        <v>87</v>
      </c>
      <c r="F102" s="128"/>
      <c r="G102" s="36">
        <v>800</v>
      </c>
      <c r="H102" s="48">
        <f t="shared" si="9"/>
        <v>0</v>
      </c>
      <c r="I102" s="59"/>
      <c r="J102" s="50"/>
      <c r="K102" s="51"/>
      <c r="L102" s="62"/>
      <c r="M102" s="16"/>
      <c r="N102" s="16"/>
      <c r="O102" s="16"/>
      <c r="P102" s="16"/>
      <c r="Q102" s="16"/>
      <c r="R102" s="16"/>
      <c r="S102" s="16"/>
      <c r="T102" s="16"/>
      <c r="U102" s="16"/>
      <c r="V102" s="16"/>
      <c r="W102" s="16"/>
      <c r="X102" s="16"/>
      <c r="Y102" s="1"/>
      <c r="Z102" s="120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/>
      <c r="AV102" s="1"/>
      <c r="AW102" s="1"/>
      <c r="AX102" s="1"/>
      <c r="AY102" s="1"/>
      <c r="AZ102" s="1"/>
      <c r="BA102" s="1"/>
      <c r="BB102" s="1"/>
      <c r="BC102" s="1"/>
      <c r="BD102" s="1"/>
      <c r="BE102" s="1"/>
      <c r="BF102" s="1"/>
      <c r="BG102" s="1"/>
      <c r="BH102" s="1"/>
      <c r="BI102" s="1"/>
      <c r="BJ102" s="1"/>
      <c r="BK102" s="1"/>
      <c r="BL102" s="1"/>
      <c r="BM102" s="1"/>
      <c r="BN102" s="1"/>
      <c r="BO102" s="1"/>
      <c r="BP102" s="1"/>
      <c r="BQ102" s="1"/>
      <c r="BR102" s="1"/>
      <c r="BS102" s="1"/>
      <c r="BT102" s="1"/>
    </row>
    <row r="103" spans="1:72" ht="15.75" x14ac:dyDescent="0.25">
      <c r="A103" s="254" t="s">
        <v>100</v>
      </c>
      <c r="B103" s="255"/>
      <c r="C103" s="255"/>
      <c r="D103" s="255"/>
      <c r="E103" s="4" t="s">
        <v>87</v>
      </c>
      <c r="F103" s="128"/>
      <c r="G103" s="31">
        <v>1900</v>
      </c>
      <c r="H103" s="60">
        <f t="shared" si="9"/>
        <v>0</v>
      </c>
      <c r="I103" s="61"/>
      <c r="J103" s="50"/>
      <c r="K103" s="51"/>
      <c r="L103" s="62"/>
      <c r="M103" s="16"/>
      <c r="N103" s="16"/>
      <c r="O103" s="16"/>
      <c r="P103" s="16"/>
      <c r="Q103" s="16"/>
      <c r="R103" s="16"/>
      <c r="S103" s="16"/>
      <c r="T103" s="16"/>
      <c r="U103" s="16"/>
      <c r="V103" s="16"/>
      <c r="W103" s="16"/>
      <c r="X103" s="16"/>
      <c r="Y103" s="16"/>
      <c r="Z103" s="17"/>
      <c r="AA103" s="16"/>
      <c r="AB103" s="16"/>
      <c r="AC103" s="16"/>
      <c r="AD103" s="16"/>
      <c r="AE103" s="16"/>
      <c r="AF103" s="16"/>
      <c r="AG103" s="16"/>
      <c r="AH103" s="16"/>
      <c r="AI103" s="16"/>
      <c r="AJ103" s="16"/>
      <c r="AK103" s="16"/>
      <c r="AL103" s="16"/>
      <c r="AM103" s="16"/>
      <c r="AN103" s="16"/>
      <c r="AO103" s="16"/>
      <c r="AP103" s="16"/>
      <c r="AQ103" s="16"/>
      <c r="AR103" s="16"/>
      <c r="AS103" s="16"/>
      <c r="AT103" s="16"/>
      <c r="AU103" s="16"/>
      <c r="AV103" s="16"/>
      <c r="AW103" s="16"/>
      <c r="AX103" s="16"/>
      <c r="AY103" s="16"/>
      <c r="AZ103" s="16"/>
      <c r="BA103" s="16"/>
      <c r="BB103" s="16"/>
      <c r="BC103" s="16"/>
      <c r="BD103" s="16"/>
      <c r="BE103" s="16"/>
      <c r="BF103" s="16"/>
      <c r="BG103" s="16"/>
      <c r="BH103" s="16"/>
      <c r="BI103" s="16"/>
      <c r="BJ103" s="16"/>
      <c r="BK103" s="16"/>
      <c r="BL103" s="16"/>
      <c r="BM103" s="16"/>
      <c r="BN103" s="16"/>
      <c r="BO103" s="16"/>
      <c r="BP103" s="16"/>
      <c r="BQ103" s="16"/>
      <c r="BR103" s="16"/>
      <c r="BS103" s="16"/>
      <c r="BT103" s="16"/>
    </row>
    <row r="104" spans="1:72" ht="15.75" x14ac:dyDescent="0.25">
      <c r="A104" s="241" t="s">
        <v>101</v>
      </c>
      <c r="B104" s="242"/>
      <c r="C104" s="242"/>
      <c r="D104" s="242"/>
      <c r="E104" s="123" t="s">
        <v>87</v>
      </c>
      <c r="F104" s="128"/>
      <c r="G104" s="36">
        <v>2000</v>
      </c>
      <c r="H104" s="48">
        <f t="shared" si="9"/>
        <v>0</v>
      </c>
      <c r="I104" s="59"/>
      <c r="J104" s="50"/>
      <c r="K104" s="51"/>
      <c r="L104" s="62"/>
      <c r="M104" s="16"/>
      <c r="N104" s="16"/>
      <c r="O104" s="16"/>
      <c r="P104" s="16"/>
      <c r="Q104" s="16"/>
      <c r="R104" s="16"/>
      <c r="S104" s="16"/>
      <c r="T104" s="16"/>
      <c r="U104" s="16"/>
      <c r="V104" s="16"/>
      <c r="W104" s="16"/>
      <c r="X104" s="16"/>
      <c r="Y104" s="1"/>
      <c r="Z104" s="120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  <c r="AV104" s="1"/>
      <c r="AW104" s="1"/>
      <c r="AX104" s="1"/>
      <c r="AY104" s="1"/>
      <c r="AZ104" s="1"/>
      <c r="BA104" s="1"/>
      <c r="BB104" s="1"/>
      <c r="BC104" s="1"/>
      <c r="BD104" s="1"/>
      <c r="BE104" s="1"/>
      <c r="BF104" s="1"/>
      <c r="BG104" s="1"/>
      <c r="BH104" s="1"/>
      <c r="BI104" s="1"/>
      <c r="BJ104" s="1"/>
      <c r="BK104" s="1"/>
      <c r="BL104" s="1"/>
      <c r="BM104" s="1"/>
      <c r="BN104" s="1"/>
      <c r="BO104" s="1"/>
      <c r="BP104" s="1"/>
      <c r="BQ104" s="1"/>
      <c r="BR104" s="1"/>
      <c r="BS104" s="1"/>
      <c r="BT104" s="1"/>
    </row>
    <row r="105" spans="1:72" ht="15.75" x14ac:dyDescent="0.25">
      <c r="A105" s="241" t="s">
        <v>102</v>
      </c>
      <c r="B105" s="242"/>
      <c r="C105" s="242"/>
      <c r="D105" s="242"/>
      <c r="E105" s="123" t="s">
        <v>87</v>
      </c>
      <c r="F105" s="128"/>
      <c r="G105" s="36">
        <v>200</v>
      </c>
      <c r="H105" s="48">
        <f t="shared" si="9"/>
        <v>0</v>
      </c>
      <c r="I105" s="59"/>
      <c r="J105" s="50"/>
      <c r="K105" s="51"/>
      <c r="L105" s="62"/>
      <c r="M105" s="16"/>
      <c r="N105" s="16"/>
      <c r="O105" s="16"/>
      <c r="P105" s="16"/>
      <c r="Q105" s="16"/>
      <c r="R105" s="16"/>
      <c r="S105" s="16"/>
      <c r="T105" s="16"/>
      <c r="U105" s="16"/>
      <c r="V105" s="16"/>
      <c r="W105" s="16"/>
      <c r="X105" s="16"/>
      <c r="Y105" s="1"/>
      <c r="Z105" s="120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  <c r="AV105" s="1"/>
      <c r="AW105" s="1"/>
      <c r="AX105" s="1"/>
      <c r="AY105" s="1"/>
      <c r="AZ105" s="1"/>
      <c r="BA105" s="1"/>
      <c r="BB105" s="1"/>
      <c r="BC105" s="1"/>
      <c r="BD105" s="1"/>
      <c r="BE105" s="1"/>
      <c r="BF105" s="1"/>
      <c r="BG105" s="1"/>
      <c r="BH105" s="1"/>
      <c r="BI105" s="1"/>
      <c r="BJ105" s="1"/>
      <c r="BK105" s="1"/>
      <c r="BL105" s="1"/>
      <c r="BM105" s="1"/>
      <c r="BN105" s="1"/>
      <c r="BO105" s="1"/>
      <c r="BP105" s="1"/>
      <c r="BQ105" s="1"/>
      <c r="BR105" s="1"/>
      <c r="BS105" s="1"/>
      <c r="BT105" s="1"/>
    </row>
    <row r="106" spans="1:72" ht="15.75" x14ac:dyDescent="0.25">
      <c r="A106" s="251" t="s">
        <v>103</v>
      </c>
      <c r="B106" s="252"/>
      <c r="C106" s="252"/>
      <c r="D106" s="253"/>
      <c r="E106" s="123" t="s">
        <v>87</v>
      </c>
      <c r="F106" s="128"/>
      <c r="G106" s="36">
        <v>1100</v>
      </c>
      <c r="H106" s="48">
        <f t="shared" si="9"/>
        <v>0</v>
      </c>
      <c r="I106" s="59"/>
      <c r="J106" s="50"/>
      <c r="K106" s="51"/>
      <c r="L106" s="62"/>
      <c r="M106" s="16"/>
      <c r="N106" s="16"/>
      <c r="O106" s="16"/>
      <c r="P106" s="16"/>
      <c r="Q106" s="16"/>
      <c r="R106" s="16"/>
      <c r="S106" s="16"/>
      <c r="T106" s="16"/>
      <c r="U106" s="16"/>
      <c r="V106" s="16"/>
      <c r="W106" s="16"/>
      <c r="X106" s="16"/>
      <c r="Y106" s="1"/>
      <c r="Z106" s="120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1"/>
      <c r="AV106" s="1"/>
      <c r="AW106" s="1"/>
      <c r="AX106" s="1"/>
      <c r="AY106" s="1"/>
      <c r="AZ106" s="1"/>
      <c r="BA106" s="1"/>
      <c r="BB106" s="1"/>
      <c r="BC106" s="1"/>
      <c r="BD106" s="1"/>
      <c r="BE106" s="1"/>
      <c r="BF106" s="1"/>
      <c r="BG106" s="1"/>
      <c r="BH106" s="1"/>
      <c r="BI106" s="1"/>
      <c r="BJ106" s="1"/>
      <c r="BK106" s="1"/>
      <c r="BL106" s="1"/>
      <c r="BM106" s="1"/>
      <c r="BN106" s="1"/>
      <c r="BO106" s="1"/>
      <c r="BP106" s="1"/>
      <c r="BQ106" s="1"/>
      <c r="BR106" s="1"/>
      <c r="BS106" s="1"/>
      <c r="BT106" s="1"/>
    </row>
    <row r="107" spans="1:72" ht="15.75" x14ac:dyDescent="0.25">
      <c r="A107" s="256" t="s">
        <v>104</v>
      </c>
      <c r="B107" s="256"/>
      <c r="C107" s="256"/>
      <c r="D107" s="256"/>
      <c r="E107" s="63" t="s">
        <v>87</v>
      </c>
      <c r="F107" s="128"/>
      <c r="G107" s="36">
        <v>2200</v>
      </c>
      <c r="H107" s="48">
        <f t="shared" si="9"/>
        <v>0</v>
      </c>
      <c r="I107" s="59"/>
      <c r="J107" s="50"/>
      <c r="K107" s="51"/>
      <c r="L107" s="62"/>
      <c r="M107" s="16"/>
      <c r="N107" s="16"/>
      <c r="O107" s="16"/>
      <c r="P107" s="16"/>
      <c r="Q107" s="16"/>
      <c r="R107" s="16"/>
      <c r="S107" s="16"/>
      <c r="T107" s="16"/>
      <c r="U107" s="16"/>
      <c r="V107" s="16"/>
      <c r="W107" s="16"/>
      <c r="X107" s="16"/>
      <c r="Y107" s="1"/>
      <c r="Z107" s="120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  <c r="AU107" s="1"/>
      <c r="AV107" s="1"/>
      <c r="AW107" s="1"/>
      <c r="AX107" s="1"/>
      <c r="AY107" s="1"/>
      <c r="AZ107" s="1"/>
      <c r="BA107" s="1"/>
      <c r="BB107" s="1"/>
      <c r="BC107" s="1"/>
      <c r="BD107" s="1"/>
      <c r="BE107" s="1"/>
      <c r="BF107" s="1"/>
      <c r="BG107" s="1"/>
      <c r="BH107" s="1"/>
      <c r="BI107" s="1"/>
      <c r="BJ107" s="1"/>
      <c r="BK107" s="1"/>
      <c r="BL107" s="1"/>
      <c r="BM107" s="1"/>
      <c r="BN107" s="1"/>
      <c r="BO107" s="1"/>
      <c r="BP107" s="1"/>
      <c r="BQ107" s="1"/>
      <c r="BR107" s="1"/>
      <c r="BS107" s="1"/>
      <c r="BT107" s="1"/>
    </row>
    <row r="108" spans="1:72" ht="15.75" x14ac:dyDescent="0.25">
      <c r="A108" s="232" t="s">
        <v>105</v>
      </c>
      <c r="B108" s="233"/>
      <c r="C108" s="233"/>
      <c r="D108" s="234"/>
      <c r="E108" s="4" t="s">
        <v>87</v>
      </c>
      <c r="F108" s="128"/>
      <c r="G108" s="31">
        <v>1420</v>
      </c>
      <c r="H108" s="60">
        <f t="shared" si="9"/>
        <v>0</v>
      </c>
      <c r="I108" s="64"/>
      <c r="J108" s="50"/>
      <c r="K108" s="51"/>
      <c r="L108" s="62"/>
      <c r="M108" s="16"/>
      <c r="N108" s="16"/>
      <c r="O108" s="16"/>
      <c r="P108" s="16"/>
      <c r="Q108" s="16"/>
      <c r="R108" s="16"/>
      <c r="S108" s="16"/>
      <c r="T108" s="16"/>
      <c r="U108" s="16"/>
      <c r="V108" s="16"/>
      <c r="W108" s="16"/>
      <c r="X108" s="16"/>
      <c r="Y108" s="1"/>
      <c r="Z108" s="120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  <c r="AV108" s="1"/>
      <c r="AW108" s="1"/>
      <c r="AX108" s="1"/>
      <c r="AY108" s="1"/>
      <c r="AZ108" s="1"/>
      <c r="BA108" s="1"/>
      <c r="BB108" s="1"/>
      <c r="BC108" s="1"/>
      <c r="BD108" s="1"/>
      <c r="BE108" s="1"/>
      <c r="BF108" s="1"/>
      <c r="BG108" s="1"/>
      <c r="BH108" s="1"/>
      <c r="BI108" s="1"/>
      <c r="BJ108" s="1"/>
      <c r="BK108" s="1"/>
      <c r="BL108" s="1"/>
      <c r="BM108" s="1"/>
      <c r="BN108" s="1"/>
      <c r="BO108" s="1"/>
      <c r="BP108" s="1"/>
      <c r="BQ108" s="1"/>
      <c r="BR108" s="1"/>
      <c r="BS108" s="1"/>
      <c r="BT108" s="1"/>
    </row>
    <row r="109" spans="1:72" ht="16.5" thickBot="1" x14ac:dyDescent="0.3">
      <c r="A109" s="241" t="s">
        <v>106</v>
      </c>
      <c r="B109" s="242"/>
      <c r="C109" s="242"/>
      <c r="D109" s="242"/>
      <c r="E109" s="123" t="s">
        <v>87</v>
      </c>
      <c r="F109" s="128"/>
      <c r="G109" s="36">
        <v>383.5</v>
      </c>
      <c r="H109" s="99">
        <f>(F109*G109)</f>
        <v>0</v>
      </c>
      <c r="I109" s="65"/>
      <c r="J109" s="66"/>
      <c r="K109" s="67"/>
      <c r="L109" s="62"/>
      <c r="M109" s="16"/>
      <c r="N109" s="16"/>
      <c r="O109" s="16"/>
      <c r="P109" s="16"/>
      <c r="Q109" s="16"/>
      <c r="R109" s="16"/>
      <c r="S109" s="16"/>
      <c r="T109" s="16"/>
      <c r="U109" s="16"/>
      <c r="V109" s="16"/>
      <c r="W109" s="16"/>
      <c r="X109" s="16"/>
      <c r="Y109" s="1"/>
      <c r="Z109" s="120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/>
      <c r="AV109" s="1"/>
      <c r="AW109" s="1"/>
      <c r="AX109" s="1"/>
      <c r="AY109" s="1"/>
      <c r="AZ109" s="1"/>
      <c r="BA109" s="1"/>
      <c r="BB109" s="1"/>
      <c r="BC109" s="1"/>
      <c r="BD109" s="1"/>
      <c r="BE109" s="1"/>
      <c r="BF109" s="1"/>
      <c r="BG109" s="1"/>
      <c r="BH109" s="1"/>
      <c r="BI109" s="1"/>
      <c r="BJ109" s="1"/>
      <c r="BK109" s="1"/>
      <c r="BL109" s="1"/>
      <c r="BM109" s="1"/>
      <c r="BN109" s="1"/>
      <c r="BO109" s="1"/>
      <c r="BP109" s="1"/>
      <c r="BQ109" s="1"/>
      <c r="BR109" s="1"/>
      <c r="BS109" s="1"/>
      <c r="BT109" s="1"/>
    </row>
    <row r="110" spans="1:72" ht="16.5" thickBot="1" x14ac:dyDescent="0.3">
      <c r="A110" s="16"/>
      <c r="B110" s="16"/>
      <c r="C110" s="16"/>
      <c r="D110" s="16"/>
      <c r="E110" s="16"/>
      <c r="F110" s="18"/>
      <c r="G110" s="125" t="s">
        <v>107</v>
      </c>
      <c r="H110" s="110">
        <f>SUM(H90:H109)</f>
        <v>0</v>
      </c>
      <c r="I110" s="68"/>
      <c r="J110" s="69"/>
      <c r="K110" s="70"/>
      <c r="L110" s="135"/>
      <c r="M110" s="7"/>
      <c r="N110" s="7"/>
      <c r="O110" s="16"/>
      <c r="P110" s="16"/>
      <c r="Q110" s="16"/>
      <c r="R110" s="16"/>
      <c r="S110" s="16"/>
      <c r="T110" s="16"/>
      <c r="U110" s="16"/>
      <c r="V110" s="16"/>
      <c r="W110" s="16"/>
      <c r="X110" s="16"/>
      <c r="Y110" s="1"/>
      <c r="Z110" s="120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  <c r="AV110" s="1"/>
      <c r="AW110" s="1"/>
      <c r="AX110" s="1"/>
      <c r="AY110" s="1"/>
      <c r="AZ110" s="1"/>
      <c r="BA110" s="1"/>
      <c r="BB110" s="1"/>
      <c r="BC110" s="1"/>
      <c r="BD110" s="1"/>
      <c r="BE110" s="1"/>
      <c r="BF110" s="1"/>
      <c r="BG110" s="1"/>
      <c r="BH110" s="1"/>
      <c r="BI110" s="1"/>
      <c r="BJ110" s="1"/>
      <c r="BK110" s="1"/>
      <c r="BL110" s="1"/>
      <c r="BM110" s="1"/>
      <c r="BN110" s="1"/>
      <c r="BO110" s="1"/>
      <c r="BP110" s="1"/>
      <c r="BQ110" s="1"/>
      <c r="BR110" s="1"/>
      <c r="BS110" s="1"/>
      <c r="BT110" s="1"/>
    </row>
    <row r="111" spans="1:72" ht="15.75" x14ac:dyDescent="0.25">
      <c r="A111" s="16"/>
      <c r="B111" s="16"/>
      <c r="C111" s="16"/>
      <c r="D111" s="16"/>
      <c r="E111" s="16"/>
      <c r="F111" s="7"/>
      <c r="G111" s="38"/>
      <c r="H111" s="22"/>
      <c r="I111" s="71"/>
      <c r="J111" s="18"/>
      <c r="K111" s="137"/>
      <c r="L111" s="136"/>
      <c r="M111" s="7"/>
      <c r="N111" s="7"/>
      <c r="O111" s="16"/>
      <c r="P111" s="16"/>
      <c r="Q111" s="16"/>
      <c r="R111" s="16"/>
      <c r="S111" s="16"/>
      <c r="T111" s="16"/>
      <c r="U111" s="16"/>
      <c r="V111" s="16"/>
      <c r="W111" s="16"/>
      <c r="X111" s="16"/>
      <c r="Y111" s="1"/>
      <c r="Z111" s="120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/>
      <c r="AV111" s="1"/>
      <c r="AW111" s="1"/>
      <c r="AX111" s="1"/>
      <c r="AY111" s="1"/>
      <c r="AZ111" s="1"/>
      <c r="BA111" s="1"/>
      <c r="BB111" s="1"/>
      <c r="BC111" s="1"/>
      <c r="BD111" s="1"/>
      <c r="BE111" s="1"/>
      <c r="BF111" s="1"/>
      <c r="BG111" s="1"/>
      <c r="BH111" s="1"/>
      <c r="BI111" s="1"/>
      <c r="BJ111" s="1"/>
      <c r="BK111" s="1"/>
      <c r="BL111" s="1"/>
      <c r="BM111" s="1"/>
      <c r="BN111" s="1"/>
      <c r="BO111" s="1"/>
      <c r="BP111" s="1"/>
      <c r="BQ111" s="1"/>
      <c r="BR111" s="1"/>
      <c r="BS111" s="1"/>
      <c r="BT111" s="1"/>
    </row>
    <row r="112" spans="1:72" ht="15.75" x14ac:dyDescent="0.25">
      <c r="A112" s="16"/>
      <c r="B112" s="16"/>
      <c r="C112" s="16"/>
      <c r="D112" s="16"/>
      <c r="E112" s="138">
        <v>0</v>
      </c>
      <c r="F112" s="7"/>
      <c r="G112" s="38"/>
      <c r="H112" s="142">
        <f>+E112</f>
        <v>0</v>
      </c>
      <c r="I112" s="264" t="s">
        <v>130</v>
      </c>
      <c r="J112" s="257" t="s">
        <v>108</v>
      </c>
      <c r="K112" s="259"/>
      <c r="L112" s="16"/>
      <c r="M112" s="7"/>
      <c r="N112" s="260"/>
      <c r="O112" s="16"/>
      <c r="P112" s="16"/>
      <c r="Q112" s="16"/>
      <c r="R112" s="16"/>
      <c r="S112" s="16"/>
      <c r="T112" s="16"/>
      <c r="U112" s="16"/>
      <c r="V112" s="16"/>
      <c r="W112" s="16"/>
      <c r="X112" s="16"/>
      <c r="Y112" s="1"/>
      <c r="Z112" s="120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  <c r="AV112" s="1"/>
      <c r="AW112" s="1"/>
      <c r="AX112" s="1"/>
      <c r="AY112" s="1"/>
      <c r="AZ112" s="1"/>
      <c r="BA112" s="1"/>
      <c r="BB112" s="1"/>
      <c r="BC112" s="1"/>
      <c r="BD112" s="1"/>
      <c r="BE112" s="1"/>
      <c r="BF112" s="1"/>
      <c r="BG112" s="1"/>
      <c r="BH112" s="1"/>
      <c r="BI112" s="1"/>
      <c r="BJ112" s="1"/>
      <c r="BK112" s="1"/>
      <c r="BL112" s="1"/>
      <c r="BM112" s="1"/>
      <c r="BN112" s="1"/>
      <c r="BO112" s="1"/>
      <c r="BP112" s="1"/>
      <c r="BQ112" s="1"/>
      <c r="BR112" s="1"/>
      <c r="BS112" s="1"/>
      <c r="BT112" s="1"/>
    </row>
    <row r="113" spans="1:72" ht="15.75" x14ac:dyDescent="0.25">
      <c r="A113" s="16"/>
      <c r="B113" s="16"/>
      <c r="C113" s="16"/>
      <c r="D113" s="16"/>
      <c r="E113" s="16"/>
      <c r="F113" s="261" t="s">
        <v>109</v>
      </c>
      <c r="G113" s="262"/>
      <c r="H113" s="73">
        <f>H87+H110</f>
        <v>5220</v>
      </c>
      <c r="I113" s="265"/>
      <c r="J113" s="258"/>
      <c r="K113" s="259"/>
      <c r="L113" s="16"/>
      <c r="M113" s="7"/>
      <c r="N113" s="260"/>
      <c r="O113" s="16"/>
      <c r="P113" s="16"/>
      <c r="Q113" s="16"/>
      <c r="R113" s="16"/>
      <c r="S113" s="16"/>
      <c r="T113" s="16"/>
      <c r="U113" s="16"/>
      <c r="V113" s="16"/>
      <c r="W113" s="16"/>
      <c r="X113" s="16"/>
      <c r="Y113" s="1"/>
      <c r="Z113" s="120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  <c r="AV113" s="1"/>
      <c r="AW113" s="1"/>
      <c r="AX113" s="1"/>
      <c r="AY113" s="1"/>
      <c r="AZ113" s="1"/>
      <c r="BA113" s="1"/>
      <c r="BB113" s="1"/>
      <c r="BC113" s="1"/>
      <c r="BD113" s="1"/>
      <c r="BE113" s="1"/>
      <c r="BF113" s="1"/>
      <c r="BG113" s="1"/>
      <c r="BH113" s="1"/>
      <c r="BI113" s="1"/>
      <c r="BJ113" s="1"/>
      <c r="BK113" s="1"/>
      <c r="BL113" s="1"/>
      <c r="BM113" s="1"/>
      <c r="BN113" s="1"/>
      <c r="BO113" s="1"/>
      <c r="BP113" s="1"/>
      <c r="BQ113" s="1"/>
      <c r="BR113" s="1"/>
      <c r="BS113" s="1"/>
      <c r="BT113" s="1"/>
    </row>
    <row r="114" spans="1:72" ht="15.75" x14ac:dyDescent="0.25">
      <c r="A114" s="16"/>
      <c r="B114" s="16">
        <f>1.13*1.15</f>
        <v>1.2994999999999999</v>
      </c>
      <c r="C114" s="16"/>
      <c r="D114" s="16" t="s">
        <v>173</v>
      </c>
      <c r="E114" s="27"/>
      <c r="F114" s="74" t="s">
        <v>110</v>
      </c>
      <c r="G114" s="171">
        <v>10</v>
      </c>
      <c r="H114" s="116"/>
      <c r="I114" s="115">
        <f>+(H121-K120)*0.23</f>
        <v>159.67980000000006</v>
      </c>
      <c r="J114" s="117">
        <f>H114-M120</f>
        <v>-46.980000000000111</v>
      </c>
      <c r="K114" s="9"/>
      <c r="L114" s="9"/>
      <c r="M114" s="9"/>
      <c r="N114" s="126" t="s">
        <v>171</v>
      </c>
      <c r="O114" s="126"/>
      <c r="P114" s="16"/>
      <c r="Q114" s="16"/>
      <c r="R114" s="16"/>
      <c r="S114" s="16"/>
      <c r="T114" s="16"/>
      <c r="U114" s="16"/>
      <c r="V114" s="16"/>
      <c r="W114" s="16"/>
      <c r="X114" s="16"/>
      <c r="Y114" s="1"/>
      <c r="Z114" s="120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  <c r="AV114" s="1"/>
      <c r="AW114" s="1"/>
      <c r="AX114" s="1"/>
      <c r="AY114" s="1"/>
      <c r="AZ114" s="1"/>
      <c r="BA114" s="1"/>
      <c r="BB114" s="1"/>
      <c r="BC114" s="1"/>
      <c r="BD114" s="1"/>
      <c r="BE114" s="1"/>
      <c r="BF114" s="1"/>
      <c r="BG114" s="1"/>
      <c r="BH114" s="1"/>
      <c r="BI114" s="1"/>
      <c r="BJ114" s="1"/>
      <c r="BK114" s="1"/>
      <c r="BL114" s="1"/>
      <c r="BM114" s="1"/>
      <c r="BN114" s="1"/>
      <c r="BO114" s="1"/>
      <c r="BP114" s="1"/>
      <c r="BQ114" s="1"/>
      <c r="BR114" s="1"/>
      <c r="BS114" s="1"/>
      <c r="BT114" s="1"/>
    </row>
    <row r="115" spans="1:72" ht="15.75" x14ac:dyDescent="0.25">
      <c r="A115" s="16"/>
      <c r="B115" s="16"/>
      <c r="C115" s="16"/>
      <c r="D115" s="16"/>
      <c r="E115" s="27"/>
      <c r="F115" s="77" t="s">
        <v>111</v>
      </c>
      <c r="G115" s="78"/>
      <c r="H115" s="13">
        <f>H113+H114</f>
        <v>5220</v>
      </c>
      <c r="I115" s="20"/>
      <c r="J115" s="79"/>
      <c r="K115" s="22"/>
      <c r="L115" s="22"/>
      <c r="M115" s="7"/>
      <c r="N115" s="126"/>
      <c r="O115" s="126"/>
      <c r="P115" s="16"/>
      <c r="Q115" s="16"/>
      <c r="R115" s="16"/>
      <c r="S115" s="16"/>
      <c r="T115" s="16"/>
      <c r="U115" s="16"/>
      <c r="V115" s="16"/>
      <c r="W115" s="16"/>
      <c r="X115" s="16"/>
      <c r="Y115" s="1"/>
      <c r="Z115" s="120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1"/>
      <c r="AV115" s="1"/>
      <c r="AW115" s="1"/>
      <c r="AX115" s="1"/>
      <c r="AY115" s="1"/>
      <c r="AZ115" s="1"/>
      <c r="BA115" s="1"/>
      <c r="BB115" s="1"/>
      <c r="BC115" s="1"/>
      <c r="BD115" s="1"/>
      <c r="BE115" s="1"/>
      <c r="BF115" s="1"/>
      <c r="BG115" s="1"/>
      <c r="BH115" s="1"/>
      <c r="BI115" s="1"/>
      <c r="BJ115" s="1"/>
      <c r="BK115" s="1"/>
      <c r="BL115" s="1"/>
      <c r="BM115" s="1"/>
      <c r="BN115" s="1"/>
      <c r="BO115" s="1"/>
      <c r="BP115" s="1"/>
      <c r="BQ115" s="1"/>
      <c r="BR115" s="1"/>
      <c r="BS115" s="1"/>
      <c r="BT115" s="1"/>
    </row>
    <row r="116" spans="1:72" ht="15.75" x14ac:dyDescent="0.25">
      <c r="A116" s="16"/>
      <c r="B116" s="16"/>
      <c r="C116" s="16"/>
      <c r="D116" s="16"/>
      <c r="E116" s="27"/>
      <c r="F116" s="124" t="s">
        <v>113</v>
      </c>
      <c r="G116" s="82">
        <v>0.03</v>
      </c>
      <c r="H116" s="13">
        <f>H115*G116</f>
        <v>156.6</v>
      </c>
      <c r="I116" s="83"/>
      <c r="J116" s="80"/>
      <c r="K116" s="81" t="s">
        <v>112</v>
      </c>
      <c r="L116" s="111" t="s">
        <v>131</v>
      </c>
      <c r="M116" s="7"/>
      <c r="N116" s="135"/>
      <c r="O116" s="16"/>
      <c r="P116" s="16"/>
      <c r="Q116" s="16"/>
      <c r="R116" s="16"/>
      <c r="S116" s="16"/>
      <c r="T116" s="16"/>
      <c r="U116" s="16"/>
      <c r="V116" s="16"/>
      <c r="W116" s="16"/>
      <c r="X116" s="16"/>
      <c r="Y116" s="1"/>
      <c r="Z116" s="120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  <c r="AV116" s="1"/>
      <c r="AW116" s="1"/>
      <c r="AX116" s="1"/>
      <c r="AY116" s="1"/>
      <c r="AZ116" s="1"/>
      <c r="BA116" s="1"/>
      <c r="BB116" s="1"/>
      <c r="BC116" s="1"/>
      <c r="BD116" s="1"/>
      <c r="BE116" s="1"/>
      <c r="BF116" s="1"/>
      <c r="BG116" s="1"/>
      <c r="BH116" s="1"/>
      <c r="BI116" s="1"/>
      <c r="BJ116" s="1"/>
      <c r="BK116" s="1"/>
      <c r="BL116" s="1"/>
      <c r="BM116" s="1"/>
      <c r="BN116" s="1"/>
      <c r="BO116" s="1"/>
      <c r="BP116" s="1"/>
      <c r="BQ116" s="1"/>
      <c r="BR116" s="1"/>
      <c r="BS116" s="1"/>
      <c r="BT116" s="1"/>
    </row>
    <row r="117" spans="1:72" ht="15.75" x14ac:dyDescent="0.25">
      <c r="A117" s="16"/>
      <c r="B117" s="16"/>
      <c r="C117" s="16"/>
      <c r="D117" s="16"/>
      <c r="E117" s="27"/>
      <c r="F117" s="4" t="s">
        <v>115</v>
      </c>
      <c r="G117" s="77"/>
      <c r="H117" s="13">
        <f>H115+H116</f>
        <v>5376.6</v>
      </c>
      <c r="I117" s="80"/>
      <c r="J117" s="80" t="s">
        <v>114</v>
      </c>
      <c r="K117" s="6">
        <f>+H27</f>
        <v>0</v>
      </c>
      <c r="L117" s="112"/>
      <c r="M117" s="135"/>
      <c r="N117" s="7"/>
      <c r="O117" s="16"/>
      <c r="P117" s="16"/>
      <c r="Q117" s="16"/>
      <c r="R117" s="16"/>
      <c r="S117" s="16"/>
      <c r="T117" s="16"/>
      <c r="U117" s="16"/>
      <c r="V117" s="16"/>
      <c r="W117" s="16"/>
      <c r="X117" s="16"/>
      <c r="Y117" s="1"/>
      <c r="Z117" s="120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  <c r="AV117" s="1"/>
      <c r="AW117" s="1"/>
      <c r="AX117" s="1"/>
      <c r="AY117" s="1"/>
      <c r="AZ117" s="1"/>
      <c r="BA117" s="1"/>
      <c r="BB117" s="1"/>
      <c r="BC117" s="1"/>
      <c r="BD117" s="1"/>
      <c r="BE117" s="1"/>
      <c r="BF117" s="1"/>
      <c r="BG117" s="1"/>
      <c r="BH117" s="1"/>
      <c r="BI117" s="1"/>
      <c r="BJ117" s="1"/>
      <c r="BK117" s="1"/>
      <c r="BL117" s="1"/>
      <c r="BM117" s="1"/>
      <c r="BN117" s="1"/>
      <c r="BO117" s="1"/>
      <c r="BP117" s="1"/>
      <c r="BQ117" s="1"/>
      <c r="BR117" s="1"/>
      <c r="BS117" s="1"/>
      <c r="BT117" s="1"/>
    </row>
    <row r="118" spans="1:72" ht="15.75" x14ac:dyDescent="0.25">
      <c r="A118" s="16"/>
      <c r="B118" s="16"/>
      <c r="C118" s="16"/>
      <c r="D118" s="16"/>
      <c r="E118" s="169">
        <v>0.27500000000000002</v>
      </c>
      <c r="F118" s="124" t="s">
        <v>117</v>
      </c>
      <c r="G118" s="82">
        <v>0.1</v>
      </c>
      <c r="H118" s="13">
        <f>H117*G118</f>
        <v>537.66000000000008</v>
      </c>
      <c r="I118" s="80"/>
      <c r="J118" s="80" t="s">
        <v>116</v>
      </c>
      <c r="K118" s="6">
        <f>H55</f>
        <v>0</v>
      </c>
      <c r="L118" s="112"/>
      <c r="M118" s="135"/>
      <c r="N118" s="7"/>
      <c r="O118" s="16"/>
      <c r="P118" s="16"/>
      <c r="Q118" s="16"/>
      <c r="R118" s="16"/>
      <c r="S118" s="16"/>
      <c r="T118" s="16"/>
      <c r="U118" s="16"/>
      <c r="V118" s="16"/>
      <c r="W118" s="16"/>
      <c r="X118" s="16"/>
      <c r="Y118" s="1"/>
      <c r="Z118" s="120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  <c r="AV118" s="1"/>
      <c r="AW118" s="1"/>
      <c r="AX118" s="1"/>
      <c r="AY118" s="1"/>
      <c r="AZ118" s="1"/>
      <c r="BA118" s="1"/>
      <c r="BB118" s="1"/>
      <c r="BC118" s="1"/>
      <c r="BD118" s="1"/>
      <c r="BE118" s="1"/>
      <c r="BF118" s="1"/>
      <c r="BG118" s="1"/>
      <c r="BH118" s="1"/>
      <c r="BI118" s="1"/>
      <c r="BJ118" s="1"/>
      <c r="BK118" s="1"/>
      <c r="BL118" s="1"/>
      <c r="BM118" s="1"/>
      <c r="BN118" s="1"/>
      <c r="BO118" s="1"/>
      <c r="BP118" s="1"/>
      <c r="BQ118" s="1"/>
      <c r="BR118" s="1"/>
      <c r="BS118" s="1"/>
      <c r="BT118" s="1"/>
    </row>
    <row r="119" spans="1:72" ht="15.75" x14ac:dyDescent="0.25">
      <c r="A119" s="16"/>
      <c r="B119" s="16"/>
      <c r="C119" s="16"/>
      <c r="D119" s="16"/>
      <c r="E119" s="16"/>
      <c r="F119" s="124" t="s">
        <v>119</v>
      </c>
      <c r="G119" s="74"/>
      <c r="H119" s="85">
        <f>H117+H118</f>
        <v>5914.26</v>
      </c>
      <c r="I119" s="13"/>
      <c r="J119" s="80" t="s">
        <v>118</v>
      </c>
      <c r="K119" s="6">
        <f>H87-H57</f>
        <v>5220</v>
      </c>
      <c r="L119" s="112"/>
      <c r="M119" s="84" t="s">
        <v>127</v>
      </c>
      <c r="N119" s="7"/>
      <c r="O119" s="16"/>
      <c r="P119" s="16"/>
      <c r="Q119" s="16"/>
      <c r="R119" s="16"/>
      <c r="S119" s="16"/>
      <c r="T119" s="16"/>
      <c r="U119" s="16"/>
      <c r="V119" s="16"/>
      <c r="W119" s="16"/>
      <c r="X119" s="16"/>
      <c r="Y119" s="1"/>
      <c r="Z119" s="120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/>
      <c r="AV119" s="1"/>
      <c r="AW119" s="1"/>
      <c r="AX119" s="1"/>
      <c r="AY119" s="1"/>
      <c r="AZ119" s="1"/>
      <c r="BA119" s="1"/>
      <c r="BB119" s="1"/>
      <c r="BC119" s="1"/>
      <c r="BD119" s="1"/>
      <c r="BE119" s="1"/>
      <c r="BF119" s="1"/>
      <c r="BG119" s="1"/>
      <c r="BH119" s="1"/>
      <c r="BI119" s="1"/>
      <c r="BJ119" s="1"/>
      <c r="BK119" s="1"/>
      <c r="BL119" s="1"/>
      <c r="BM119" s="1"/>
      <c r="BN119" s="1"/>
      <c r="BO119" s="1"/>
      <c r="BP119" s="1"/>
      <c r="BQ119" s="1"/>
      <c r="BR119" s="1"/>
      <c r="BS119" s="1"/>
      <c r="BT119" s="1"/>
    </row>
    <row r="120" spans="1:72" ht="15.75" x14ac:dyDescent="0.25">
      <c r="A120" s="16"/>
      <c r="B120" s="16"/>
      <c r="C120" s="16"/>
      <c r="D120" s="16"/>
      <c r="E120" s="16"/>
      <c r="F120" s="124"/>
      <c r="G120" s="87"/>
      <c r="H120" s="13"/>
      <c r="I120" s="88" t="s">
        <v>120</v>
      </c>
      <c r="J120" s="86" t="s">
        <v>56</v>
      </c>
      <c r="K120" s="6">
        <f>SUM(K117:K119)</f>
        <v>5220</v>
      </c>
      <c r="L120" s="113">
        <f>H119-H118</f>
        <v>5376.6</v>
      </c>
      <c r="M120" s="114">
        <f>+(L120-K120)*0.3</f>
        <v>46.980000000000111</v>
      </c>
      <c r="N120" s="7"/>
      <c r="O120" s="16"/>
      <c r="P120" s="16"/>
      <c r="Q120" s="16"/>
      <c r="R120" s="16"/>
      <c r="S120" s="16"/>
      <c r="T120" s="16"/>
      <c r="U120" s="16"/>
      <c r="V120" s="16"/>
      <c r="W120" s="16"/>
      <c r="X120" s="16"/>
      <c r="Y120" s="1"/>
      <c r="Z120" s="120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  <c r="AV120" s="1"/>
      <c r="AW120" s="1"/>
      <c r="AX120" s="1"/>
      <c r="AY120" s="1"/>
      <c r="AZ120" s="1"/>
      <c r="BA120" s="1"/>
      <c r="BB120" s="1"/>
      <c r="BC120" s="1"/>
      <c r="BD120" s="1"/>
      <c r="BE120" s="1"/>
      <c r="BF120" s="1"/>
      <c r="BG120" s="1"/>
      <c r="BH120" s="1"/>
      <c r="BI120" s="1"/>
      <c r="BJ120" s="1"/>
      <c r="BK120" s="1"/>
      <c r="BL120" s="1"/>
      <c r="BM120" s="1"/>
      <c r="BN120" s="1"/>
      <c r="BO120" s="1"/>
      <c r="BP120" s="1"/>
      <c r="BQ120" s="1"/>
      <c r="BR120" s="1"/>
      <c r="BS120" s="1"/>
      <c r="BT120" s="1"/>
    </row>
    <row r="121" spans="1:72" ht="15.75" x14ac:dyDescent="0.25">
      <c r="A121" s="16"/>
      <c r="B121" s="16" t="s">
        <v>121</v>
      </c>
      <c r="C121" s="16"/>
      <c r="D121" s="16"/>
      <c r="E121" s="16"/>
      <c r="F121" s="124" t="s">
        <v>126</v>
      </c>
      <c r="G121" s="90"/>
      <c r="H121" s="98">
        <f>H119+H120</f>
        <v>5914.26</v>
      </c>
      <c r="I121" s="13"/>
      <c r="J121" s="89">
        <f>H119/H113</f>
        <v>1.133</v>
      </c>
      <c r="K121" s="7"/>
      <c r="L121" s="7"/>
      <c r="M121" s="23"/>
      <c r="N121" s="7"/>
      <c r="O121" s="16"/>
      <c r="P121" s="16"/>
      <c r="Q121" s="16"/>
      <c r="R121" s="16"/>
      <c r="S121" s="16"/>
      <c r="T121" s="16"/>
      <c r="U121" s="16"/>
      <c r="V121" s="16"/>
      <c r="W121" s="16"/>
      <c r="X121" s="16"/>
      <c r="Y121" s="1"/>
      <c r="Z121" s="120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/>
      <c r="AV121" s="1"/>
      <c r="AW121" s="1"/>
      <c r="AX121" s="1"/>
      <c r="AY121" s="1"/>
      <c r="AZ121" s="1"/>
      <c r="BA121" s="1"/>
      <c r="BB121" s="1"/>
      <c r="BC121" s="1"/>
      <c r="BD121" s="1"/>
      <c r="BE121" s="1"/>
      <c r="BF121" s="1"/>
      <c r="BG121" s="1"/>
      <c r="BH121" s="1"/>
      <c r="BI121" s="1"/>
      <c r="BJ121" s="1"/>
      <c r="BK121" s="1"/>
      <c r="BL121" s="1"/>
      <c r="BM121" s="1"/>
      <c r="BN121" s="1"/>
      <c r="BO121" s="1"/>
      <c r="BP121" s="1"/>
      <c r="BQ121" s="1"/>
      <c r="BR121" s="1"/>
      <c r="BS121" s="1"/>
      <c r="BT121" s="1"/>
    </row>
    <row r="122" spans="1:72" ht="15.75" x14ac:dyDescent="0.25">
      <c r="A122" s="16"/>
      <c r="B122" s="139" t="s">
        <v>172</v>
      </c>
      <c r="C122" s="139" t="s">
        <v>123</v>
      </c>
      <c r="D122" s="140" t="s">
        <v>124</v>
      </c>
      <c r="E122" s="132"/>
      <c r="F122" s="7"/>
      <c r="G122" s="92"/>
      <c r="H122" s="9"/>
      <c r="I122" s="7"/>
      <c r="J122" s="7"/>
      <c r="K122" s="7"/>
      <c r="L122" s="7"/>
      <c r="M122" s="9"/>
      <c r="N122" s="91"/>
      <c r="O122" s="16"/>
      <c r="P122" s="16"/>
      <c r="Q122" s="16"/>
      <c r="R122" s="16"/>
      <c r="S122" s="16"/>
      <c r="T122" s="16"/>
      <c r="U122" s="16"/>
      <c r="V122" s="16"/>
      <c r="W122" s="16"/>
      <c r="X122" s="16"/>
      <c r="Y122" s="1"/>
      <c r="Z122" s="120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  <c r="AU122" s="1"/>
      <c r="AV122" s="1"/>
      <c r="AW122" s="1"/>
      <c r="AX122" s="1"/>
      <c r="AY122" s="1"/>
      <c r="AZ122" s="1"/>
      <c r="BA122" s="1"/>
      <c r="BB122" s="1"/>
      <c r="BC122" s="1"/>
      <c r="BD122" s="1"/>
      <c r="BE122" s="1"/>
      <c r="BF122" s="1"/>
      <c r="BG122" s="1"/>
      <c r="BH122" s="1"/>
      <c r="BI122" s="1"/>
      <c r="BJ122" s="1"/>
      <c r="BK122" s="1"/>
      <c r="BL122" s="1"/>
      <c r="BM122" s="1"/>
      <c r="BN122" s="1"/>
      <c r="BO122" s="1"/>
      <c r="BP122" s="1"/>
      <c r="BQ122" s="1"/>
      <c r="BR122" s="1"/>
      <c r="BS122" s="1"/>
      <c r="BT122" s="1"/>
    </row>
    <row r="123" spans="1:72" ht="15.75" x14ac:dyDescent="0.25">
      <c r="A123" s="16"/>
      <c r="B123" s="141">
        <v>0.27500000000000002</v>
      </c>
      <c r="C123" s="141">
        <v>0.05</v>
      </c>
      <c r="D123" s="170">
        <f>1.275*1.05</f>
        <v>1.3387499999999999</v>
      </c>
      <c r="E123" s="16"/>
      <c r="F123" s="92"/>
      <c r="G123" s="93"/>
      <c r="H123" s="9"/>
      <c r="I123" s="7"/>
      <c r="J123" s="7"/>
      <c r="K123" s="7"/>
      <c r="L123" s="7"/>
      <c r="M123" s="9"/>
      <c r="N123" s="7"/>
      <c r="O123" s="16"/>
      <c r="P123" s="16"/>
      <c r="Q123" s="16"/>
      <c r="R123" s="16"/>
      <c r="S123" s="16"/>
      <c r="T123" s="16"/>
      <c r="U123" s="16"/>
      <c r="V123" s="16"/>
      <c r="W123" s="16"/>
      <c r="X123" s="16"/>
      <c r="Y123" s="1"/>
      <c r="Z123" s="120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/>
      <c r="AV123" s="1"/>
      <c r="AW123" s="1"/>
      <c r="AX123" s="1"/>
      <c r="AY123" s="1"/>
      <c r="AZ123" s="1"/>
      <c r="BA123" s="1"/>
      <c r="BB123" s="1"/>
      <c r="BC123" s="1"/>
      <c r="BD123" s="1"/>
      <c r="BE123" s="1"/>
      <c r="BF123" s="1"/>
      <c r="BG123" s="1"/>
      <c r="BH123" s="1"/>
      <c r="BI123" s="1"/>
      <c r="BJ123" s="1"/>
      <c r="BK123" s="1"/>
      <c r="BL123" s="1"/>
      <c r="BM123" s="1"/>
      <c r="BN123" s="1"/>
      <c r="BO123" s="1"/>
      <c r="BP123" s="1"/>
      <c r="BQ123" s="1"/>
      <c r="BR123" s="1"/>
      <c r="BS123" s="1"/>
      <c r="BT123" s="1"/>
    </row>
    <row r="124" spans="1:72" ht="15.75" x14ac:dyDescent="0.25">
      <c r="A124" s="16"/>
      <c r="B124" s="16"/>
      <c r="C124" s="16"/>
      <c r="D124" s="169">
        <v>0.33879999999999999</v>
      </c>
      <c r="E124" s="16"/>
      <c r="F124" s="23"/>
      <c r="G124" s="94"/>
      <c r="H124" s="93"/>
      <c r="I124" s="27"/>
      <c r="J124" s="7"/>
      <c r="K124" s="7"/>
      <c r="L124" s="7"/>
      <c r="M124" s="7"/>
      <c r="N124" s="7"/>
      <c r="O124" s="16"/>
      <c r="P124" s="16"/>
      <c r="Q124" s="16"/>
      <c r="R124" s="16"/>
      <c r="S124" s="16"/>
      <c r="T124" s="16"/>
      <c r="U124" s="16"/>
      <c r="V124" s="16"/>
      <c r="W124" s="16"/>
      <c r="X124" s="16"/>
      <c r="Y124" s="1"/>
      <c r="Z124" s="120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/>
      <c r="AV124" s="1"/>
      <c r="AW124" s="1"/>
      <c r="AX124" s="1"/>
      <c r="AY124" s="1"/>
      <c r="AZ124" s="1"/>
      <c r="BA124" s="1"/>
      <c r="BB124" s="1"/>
      <c r="BC124" s="1"/>
      <c r="BD124" s="1"/>
      <c r="BE124" s="1"/>
      <c r="BF124" s="1"/>
      <c r="BG124" s="1"/>
      <c r="BH124" s="1"/>
      <c r="BI124" s="1"/>
      <c r="BJ124" s="1"/>
      <c r="BK124" s="1"/>
      <c r="BL124" s="1"/>
      <c r="BM124" s="1"/>
      <c r="BN124" s="1"/>
      <c r="BO124" s="1"/>
      <c r="BP124" s="1"/>
      <c r="BQ124" s="1"/>
      <c r="BR124" s="1"/>
      <c r="BS124" s="1"/>
      <c r="BT124" s="1"/>
    </row>
    <row r="125" spans="1:72" ht="15.75" x14ac:dyDescent="0.25">
      <c r="A125" s="1"/>
      <c r="B125" s="1"/>
      <c r="C125" s="1"/>
      <c r="D125" s="1"/>
      <c r="E125" s="1"/>
      <c r="F125" s="23"/>
      <c r="G125" s="94"/>
      <c r="H125" s="93"/>
      <c r="I125" s="95"/>
      <c r="J125" s="18"/>
      <c r="K125" s="18"/>
      <c r="L125" s="18"/>
      <c r="M125" s="18"/>
      <c r="N125" s="18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20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/>
      <c r="AV125" s="1"/>
      <c r="AW125" s="1"/>
      <c r="AX125" s="1"/>
      <c r="AY125" s="1"/>
      <c r="AZ125" s="1"/>
      <c r="BA125" s="1"/>
      <c r="BB125" s="1"/>
      <c r="BC125" s="1"/>
      <c r="BD125" s="1"/>
      <c r="BE125" s="1"/>
      <c r="BF125" s="1"/>
      <c r="BG125" s="1"/>
      <c r="BH125" s="1"/>
      <c r="BI125" s="1"/>
      <c r="BJ125" s="1"/>
      <c r="BK125" s="1"/>
      <c r="BL125" s="1"/>
      <c r="BM125" s="1"/>
      <c r="BN125" s="1"/>
      <c r="BO125" s="1"/>
      <c r="BP125" s="1"/>
      <c r="BQ125" s="1"/>
      <c r="BR125" s="1"/>
      <c r="BS125" s="1"/>
      <c r="BT125" s="1"/>
    </row>
    <row r="126" spans="1:72" ht="15.75" x14ac:dyDescent="0.25">
      <c r="A126" s="1"/>
      <c r="B126" s="1"/>
      <c r="C126" s="1"/>
      <c r="D126" s="1"/>
      <c r="E126" s="1"/>
      <c r="F126" s="23"/>
      <c r="G126" s="76"/>
      <c r="H126" s="76"/>
      <c r="I126" s="18"/>
      <c r="J126" s="18"/>
      <c r="K126" s="18"/>
      <c r="L126" s="18"/>
      <c r="M126" s="18"/>
      <c r="N126" s="18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20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/>
      <c r="AV126" s="1"/>
      <c r="AW126" s="1"/>
      <c r="AX126" s="1"/>
      <c r="AY126" s="1"/>
      <c r="AZ126" s="1"/>
      <c r="BA126" s="1"/>
      <c r="BB126" s="1"/>
      <c r="BC126" s="1"/>
      <c r="BD126" s="1"/>
      <c r="BE126" s="1"/>
      <c r="BF126" s="1"/>
      <c r="BG126" s="1"/>
      <c r="BH126" s="1"/>
      <c r="BI126" s="1"/>
      <c r="BJ126" s="1"/>
      <c r="BK126" s="1"/>
      <c r="BL126" s="1"/>
      <c r="BM126" s="1"/>
      <c r="BN126" s="1"/>
      <c r="BO126" s="1"/>
      <c r="BP126" s="1"/>
      <c r="BQ126" s="1"/>
      <c r="BR126" s="1"/>
      <c r="BS126" s="1"/>
      <c r="BT126" s="1"/>
    </row>
    <row r="127" spans="1:72" ht="15.75" x14ac:dyDescent="0.25">
      <c r="A127" s="1"/>
      <c r="B127" s="1"/>
      <c r="C127" s="1"/>
      <c r="D127" s="1"/>
      <c r="E127" s="1"/>
      <c r="F127" s="23"/>
      <c r="G127" s="5"/>
      <c r="H127" s="1"/>
      <c r="I127" s="1"/>
      <c r="J127" s="18"/>
      <c r="K127" s="18"/>
      <c r="L127" s="18"/>
      <c r="M127" s="18"/>
      <c r="N127" s="18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20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/>
      <c r="AV127" s="1"/>
      <c r="AW127" s="1"/>
      <c r="AX127" s="1"/>
      <c r="AY127" s="1"/>
      <c r="AZ127" s="1"/>
      <c r="BA127" s="1"/>
      <c r="BB127" s="1"/>
      <c r="BC127" s="1"/>
      <c r="BD127" s="1"/>
      <c r="BE127" s="1"/>
      <c r="BF127" s="1"/>
      <c r="BG127" s="1"/>
      <c r="BH127" s="1"/>
      <c r="BI127" s="1"/>
      <c r="BJ127" s="1"/>
      <c r="BK127" s="1"/>
      <c r="BL127" s="1"/>
      <c r="BM127" s="1"/>
      <c r="BN127" s="1"/>
      <c r="BO127" s="1"/>
      <c r="BP127" s="1"/>
      <c r="BQ127" s="1"/>
      <c r="BR127" s="1"/>
      <c r="BS127" s="1"/>
      <c r="BT127" s="1"/>
    </row>
    <row r="128" spans="1:72" ht="15.75" x14ac:dyDescent="0.25">
      <c r="A128" s="1"/>
      <c r="B128" s="1"/>
      <c r="C128" s="1"/>
      <c r="D128" s="1"/>
      <c r="E128" s="1"/>
      <c r="F128" s="1"/>
      <c r="G128" s="18"/>
      <c r="H128" s="4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20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  <c r="AV128" s="1"/>
      <c r="AW128" s="1"/>
      <c r="AX128" s="1"/>
      <c r="AY128" s="1"/>
      <c r="AZ128" s="1"/>
      <c r="BA128" s="1"/>
      <c r="BB128" s="1"/>
      <c r="BC128" s="1"/>
      <c r="BD128" s="1"/>
      <c r="BE128" s="1"/>
      <c r="BF128" s="1"/>
      <c r="BG128" s="1"/>
      <c r="BH128" s="1"/>
      <c r="BI128" s="1"/>
      <c r="BJ128" s="1"/>
      <c r="BK128" s="1"/>
      <c r="BL128" s="1"/>
      <c r="BM128" s="1"/>
      <c r="BN128" s="1"/>
      <c r="BO128" s="1"/>
      <c r="BP128" s="1"/>
      <c r="BQ128" s="1"/>
      <c r="BR128" s="1"/>
      <c r="BS128" s="1"/>
      <c r="BT128" s="1"/>
    </row>
    <row r="129" spans="1:72" ht="15.75" x14ac:dyDescent="0.25">
      <c r="A129" s="1"/>
      <c r="B129" s="1"/>
      <c r="C129" s="96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20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/>
      <c r="AV129" s="1"/>
      <c r="AW129" s="1"/>
      <c r="AX129" s="1"/>
      <c r="AY129" s="1"/>
      <c r="AZ129" s="1"/>
      <c r="BA129" s="1"/>
      <c r="BB129" s="1"/>
      <c r="BC129" s="1"/>
      <c r="BD129" s="1"/>
      <c r="BE129" s="1"/>
      <c r="BF129" s="1"/>
      <c r="BG129" s="1"/>
      <c r="BH129" s="1"/>
      <c r="BI129" s="1"/>
      <c r="BJ129" s="1"/>
      <c r="BK129" s="1"/>
      <c r="BL129" s="1"/>
      <c r="BM129" s="1"/>
      <c r="BN129" s="1"/>
      <c r="BO129" s="1"/>
      <c r="BP129" s="1"/>
      <c r="BQ129" s="1"/>
      <c r="BR129" s="1"/>
      <c r="BS129" s="1"/>
      <c r="BT129" s="1"/>
    </row>
    <row r="130" spans="1:72" ht="15.75" x14ac:dyDescent="0.25">
      <c r="A130" s="1"/>
      <c r="B130" s="1"/>
      <c r="C130" s="96"/>
      <c r="D130" s="1"/>
      <c r="E130" s="1"/>
      <c r="F130" s="1"/>
      <c r="G130" s="18"/>
      <c r="H130" s="4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20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  <c r="AV130" s="1"/>
      <c r="AW130" s="1"/>
      <c r="AX130" s="1"/>
      <c r="AY130" s="1"/>
      <c r="AZ130" s="1"/>
      <c r="BA130" s="1"/>
      <c r="BB130" s="1"/>
      <c r="BC130" s="1"/>
      <c r="BD130" s="1"/>
      <c r="BE130" s="1"/>
      <c r="BF130" s="1"/>
      <c r="BG130" s="1"/>
      <c r="BH130" s="1"/>
      <c r="BI130" s="1"/>
      <c r="BJ130" s="1"/>
      <c r="BK130" s="1"/>
      <c r="BL130" s="1"/>
      <c r="BM130" s="1"/>
      <c r="BN130" s="1"/>
      <c r="BO130" s="1"/>
      <c r="BP130" s="1"/>
      <c r="BQ130" s="1"/>
      <c r="BR130" s="1"/>
      <c r="BS130" s="1"/>
      <c r="BT130" s="1"/>
    </row>
    <row r="131" spans="1:72" ht="15.75" x14ac:dyDescent="0.25">
      <c r="A131" s="1"/>
      <c r="B131" s="1"/>
      <c r="C131" s="96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20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  <c r="AU131" s="1"/>
      <c r="AV131" s="1"/>
      <c r="AW131" s="1"/>
      <c r="AX131" s="1"/>
      <c r="AY131" s="1"/>
      <c r="AZ131" s="1"/>
      <c r="BA131" s="1"/>
      <c r="BB131" s="1"/>
      <c r="BC131" s="1"/>
      <c r="BD131" s="1"/>
      <c r="BE131" s="1"/>
      <c r="BF131" s="1"/>
      <c r="BG131" s="1"/>
      <c r="BH131" s="1"/>
      <c r="BI131" s="1"/>
      <c r="BJ131" s="1"/>
      <c r="BK131" s="1"/>
      <c r="BL131" s="1"/>
      <c r="BM131" s="1"/>
      <c r="BN131" s="1"/>
      <c r="BO131" s="1"/>
      <c r="BP131" s="1"/>
      <c r="BQ131" s="1"/>
      <c r="BR131" s="1"/>
      <c r="BS131" s="1"/>
      <c r="BT131" s="1"/>
    </row>
    <row r="132" spans="1:72" ht="15.75" x14ac:dyDescent="0.25">
      <c r="A132" s="1"/>
      <c r="B132" s="1"/>
      <c r="C132" s="96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20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  <c r="AV132" s="1"/>
      <c r="AW132" s="1"/>
      <c r="AX132" s="1"/>
      <c r="AY132" s="1"/>
      <c r="AZ132" s="1"/>
      <c r="BA132" s="1"/>
      <c r="BB132" s="1"/>
      <c r="BC132" s="1"/>
      <c r="BD132" s="1"/>
      <c r="BE132" s="1"/>
      <c r="BF132" s="1"/>
      <c r="BG132" s="1"/>
      <c r="BH132" s="1"/>
      <c r="BI132" s="1"/>
      <c r="BJ132" s="1"/>
      <c r="BK132" s="1"/>
      <c r="BL132" s="1"/>
      <c r="BM132" s="1"/>
      <c r="BN132" s="1"/>
      <c r="BO132" s="1"/>
      <c r="BP132" s="1"/>
      <c r="BQ132" s="1"/>
      <c r="BR132" s="1"/>
      <c r="BS132" s="1"/>
      <c r="BT132" s="1"/>
    </row>
    <row r="133" spans="1:72" ht="15.75" x14ac:dyDescent="0.25">
      <c r="A133" s="1"/>
      <c r="B133" s="1"/>
      <c r="C133" s="40"/>
      <c r="D133" s="96"/>
      <c r="E133" s="96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20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  <c r="AV133" s="1"/>
      <c r="AW133" s="1"/>
      <c r="AX133" s="1"/>
      <c r="AY133" s="1"/>
      <c r="AZ133" s="1"/>
      <c r="BA133" s="1"/>
      <c r="BB133" s="1"/>
      <c r="BC133" s="1"/>
      <c r="BD133" s="1"/>
      <c r="BE133" s="1"/>
      <c r="BF133" s="1"/>
      <c r="BG133" s="1"/>
      <c r="BH133" s="1"/>
      <c r="BI133" s="1"/>
      <c r="BJ133" s="1"/>
      <c r="BK133" s="1"/>
      <c r="BL133" s="1"/>
      <c r="BM133" s="1"/>
      <c r="BN133" s="1"/>
      <c r="BO133" s="1"/>
      <c r="BP133" s="1"/>
      <c r="BQ133" s="1"/>
      <c r="BR133" s="1"/>
      <c r="BS133" s="1"/>
      <c r="BT133" s="1"/>
    </row>
    <row r="134" spans="1:72" ht="15.75" x14ac:dyDescent="0.25">
      <c r="A134" s="1"/>
      <c r="B134" s="96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20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  <c r="AV134" s="1"/>
      <c r="AW134" s="1"/>
      <c r="AX134" s="1"/>
      <c r="AY134" s="1"/>
      <c r="AZ134" s="1"/>
      <c r="BA134" s="1"/>
      <c r="BB134" s="1"/>
      <c r="BC134" s="1"/>
      <c r="BD134" s="1"/>
      <c r="BE134" s="1"/>
      <c r="BF134" s="1"/>
      <c r="BG134" s="1"/>
      <c r="BH134" s="1"/>
      <c r="BI134" s="1"/>
      <c r="BJ134" s="1"/>
      <c r="BK134" s="1"/>
      <c r="BL134" s="1"/>
      <c r="BM134" s="1"/>
      <c r="BN134" s="1"/>
      <c r="BO134" s="1"/>
      <c r="BP134" s="1"/>
      <c r="BQ134" s="1"/>
      <c r="BR134" s="1"/>
      <c r="BS134" s="1"/>
      <c r="BT134" s="1"/>
    </row>
    <row r="135" spans="1:72" ht="15.75" x14ac:dyDescent="0.25">
      <c r="A135" s="1"/>
      <c r="B135" s="96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20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  <c r="AV135" s="1"/>
      <c r="AW135" s="1"/>
      <c r="AX135" s="1"/>
      <c r="AY135" s="1"/>
      <c r="AZ135" s="1"/>
      <c r="BA135" s="1"/>
      <c r="BB135" s="1"/>
      <c r="BC135" s="1"/>
      <c r="BD135" s="1"/>
      <c r="BE135" s="1"/>
      <c r="BF135" s="1"/>
      <c r="BG135" s="1"/>
      <c r="BH135" s="1"/>
      <c r="BI135" s="1"/>
      <c r="BJ135" s="1"/>
      <c r="BK135" s="1"/>
      <c r="BL135" s="1"/>
      <c r="BM135" s="1"/>
      <c r="BN135" s="1"/>
      <c r="BO135" s="1"/>
      <c r="BP135" s="1"/>
      <c r="BQ135" s="1"/>
      <c r="BR135" s="1"/>
      <c r="BS135" s="1"/>
      <c r="BT135" s="1"/>
    </row>
    <row r="136" spans="1:72" ht="15.75" x14ac:dyDescent="0.25">
      <c r="A136" s="1"/>
      <c r="B136" s="96"/>
      <c r="C136" s="96"/>
      <c r="D136" s="96"/>
      <c r="E136" s="96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20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  <c r="AV136" s="1"/>
      <c r="AW136" s="1"/>
      <c r="AX136" s="1"/>
      <c r="AY136" s="1"/>
      <c r="AZ136" s="1"/>
      <c r="BA136" s="1"/>
      <c r="BB136" s="1"/>
      <c r="BC136" s="1"/>
      <c r="BD136" s="1"/>
      <c r="BE136" s="1"/>
      <c r="BF136" s="1"/>
      <c r="BG136" s="1"/>
      <c r="BH136" s="1"/>
      <c r="BI136" s="1"/>
      <c r="BJ136" s="1"/>
      <c r="BK136" s="1"/>
      <c r="BL136" s="1"/>
      <c r="BM136" s="1"/>
      <c r="BN136" s="1"/>
      <c r="BO136" s="1"/>
      <c r="BP136" s="1"/>
      <c r="BQ136" s="1"/>
      <c r="BR136" s="1"/>
      <c r="BS136" s="1"/>
      <c r="BT136" s="1"/>
    </row>
    <row r="137" spans="1:72" ht="15.75" x14ac:dyDescent="0.25">
      <c r="A137" s="1"/>
      <c r="B137" s="1"/>
      <c r="C137" s="1"/>
      <c r="D137" s="1"/>
      <c r="E137" s="1"/>
      <c r="F137" s="96"/>
      <c r="G137" s="72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20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  <c r="AV137" s="1"/>
      <c r="AW137" s="1"/>
      <c r="AX137" s="1"/>
      <c r="AY137" s="1"/>
      <c r="AZ137" s="1"/>
      <c r="BA137" s="1"/>
      <c r="BB137" s="1"/>
      <c r="BC137" s="1"/>
      <c r="BD137" s="1"/>
      <c r="BE137" s="1"/>
      <c r="BF137" s="1"/>
      <c r="BG137" s="1"/>
      <c r="BH137" s="1"/>
      <c r="BI137" s="1"/>
      <c r="BJ137" s="1"/>
      <c r="BK137" s="1"/>
      <c r="BL137" s="1"/>
      <c r="BM137" s="1"/>
      <c r="BN137" s="1"/>
      <c r="BO137" s="1"/>
      <c r="BP137" s="1"/>
      <c r="BQ137" s="1"/>
      <c r="BR137" s="1"/>
      <c r="BS137" s="1"/>
      <c r="BT137" s="1"/>
    </row>
    <row r="138" spans="1:72" ht="15.75" x14ac:dyDescent="0.25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20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  <c r="AV138" s="1"/>
      <c r="AW138" s="1"/>
      <c r="AX138" s="1"/>
      <c r="AY138" s="1"/>
      <c r="AZ138" s="1"/>
      <c r="BA138" s="1"/>
      <c r="BB138" s="1"/>
      <c r="BC138" s="1"/>
      <c r="BD138" s="1"/>
      <c r="BE138" s="1"/>
      <c r="BF138" s="1"/>
      <c r="BG138" s="1"/>
      <c r="BH138" s="1"/>
      <c r="BI138" s="1"/>
      <c r="BJ138" s="1"/>
      <c r="BK138" s="1"/>
      <c r="BL138" s="1"/>
      <c r="BM138" s="1"/>
      <c r="BN138" s="1"/>
      <c r="BO138" s="1"/>
      <c r="BP138" s="1"/>
      <c r="BQ138" s="1"/>
      <c r="BR138" s="1"/>
      <c r="BS138" s="1"/>
      <c r="BT138" s="1"/>
    </row>
    <row r="139" spans="1:72" ht="15.75" x14ac:dyDescent="0.25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20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  <c r="AV139" s="1"/>
      <c r="AW139" s="1"/>
      <c r="AX139" s="1"/>
      <c r="AY139" s="1"/>
      <c r="AZ139" s="1"/>
      <c r="BA139" s="1"/>
      <c r="BB139" s="1"/>
      <c r="BC139" s="1"/>
      <c r="BD139" s="1"/>
      <c r="BE139" s="1"/>
      <c r="BF139" s="1"/>
      <c r="BG139" s="1"/>
      <c r="BH139" s="1"/>
      <c r="BI139" s="1"/>
      <c r="BJ139" s="1"/>
      <c r="BK139" s="1"/>
      <c r="BL139" s="1"/>
      <c r="BM139" s="1"/>
      <c r="BN139" s="1"/>
      <c r="BO139" s="1"/>
      <c r="BP139" s="1"/>
      <c r="BQ139" s="1"/>
      <c r="BR139" s="1"/>
      <c r="BS139" s="1"/>
      <c r="BT139" s="1"/>
    </row>
    <row r="140" spans="1:72" ht="15.75" x14ac:dyDescent="0.25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20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  <c r="AV140" s="1"/>
      <c r="AW140" s="1"/>
      <c r="AX140" s="1"/>
      <c r="AY140" s="1"/>
      <c r="AZ140" s="1"/>
      <c r="BA140" s="1"/>
      <c r="BB140" s="1"/>
      <c r="BC140" s="1"/>
      <c r="BD140" s="1"/>
      <c r="BE140" s="1"/>
      <c r="BF140" s="1"/>
      <c r="BG140" s="1"/>
      <c r="BH140" s="1"/>
      <c r="BI140" s="1"/>
      <c r="BJ140" s="1"/>
      <c r="BK140" s="1"/>
      <c r="BL140" s="1"/>
      <c r="BM140" s="1"/>
      <c r="BN140" s="1"/>
      <c r="BO140" s="1"/>
      <c r="BP140" s="1"/>
      <c r="BQ140" s="1"/>
      <c r="BR140" s="1"/>
      <c r="BS140" s="1"/>
      <c r="BT140" s="1"/>
    </row>
    <row r="141" spans="1:72" ht="15.75" x14ac:dyDescent="0.25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20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  <c r="AV141" s="1"/>
      <c r="AW141" s="1"/>
      <c r="AX141" s="1"/>
      <c r="AY141" s="1"/>
      <c r="AZ141" s="1"/>
      <c r="BA141" s="1"/>
      <c r="BB141" s="1"/>
      <c r="BC141" s="1"/>
      <c r="BD141" s="1"/>
      <c r="BE141" s="1"/>
      <c r="BF141" s="1"/>
      <c r="BG141" s="1"/>
      <c r="BH141" s="1"/>
      <c r="BI141" s="1"/>
      <c r="BJ141" s="1"/>
      <c r="BK141" s="1"/>
      <c r="BL141" s="1"/>
      <c r="BM141" s="1"/>
      <c r="BN141" s="1"/>
      <c r="BO141" s="1"/>
      <c r="BP141" s="1"/>
      <c r="BQ141" s="1"/>
      <c r="BR141" s="1"/>
      <c r="BS141" s="1"/>
      <c r="BT141" s="1"/>
    </row>
    <row r="142" spans="1:72" ht="15.75" x14ac:dyDescent="0.25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20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  <c r="AV142" s="1"/>
      <c r="AW142" s="1"/>
      <c r="AX142" s="1"/>
      <c r="AY142" s="1"/>
      <c r="AZ142" s="1"/>
      <c r="BA142" s="1"/>
      <c r="BB142" s="1"/>
      <c r="BC142" s="1"/>
      <c r="BD142" s="1"/>
      <c r="BE142" s="1"/>
      <c r="BF142" s="1"/>
      <c r="BG142" s="1"/>
      <c r="BH142" s="1"/>
      <c r="BI142" s="1"/>
      <c r="BJ142" s="1"/>
      <c r="BK142" s="1"/>
      <c r="BL142" s="1"/>
      <c r="BM142" s="1"/>
      <c r="BN142" s="1"/>
      <c r="BO142" s="1"/>
      <c r="BP142" s="1"/>
      <c r="BQ142" s="1"/>
      <c r="BR142" s="1"/>
      <c r="BS142" s="1"/>
      <c r="BT142" s="1"/>
    </row>
    <row r="143" spans="1:72" ht="15.75" x14ac:dyDescent="0.25">
      <c r="F143" s="1"/>
      <c r="G143" s="1"/>
      <c r="H143" s="1"/>
      <c r="I143" s="1"/>
      <c r="J143" s="1"/>
      <c r="K143" s="1"/>
      <c r="L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20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  <c r="AV143" s="1"/>
      <c r="AW143" s="1"/>
      <c r="AX143" s="1"/>
      <c r="AY143" s="1"/>
      <c r="AZ143" s="1"/>
      <c r="BA143" s="1"/>
      <c r="BB143" s="1"/>
      <c r="BC143" s="1"/>
      <c r="BD143" s="1"/>
      <c r="BE143" s="1"/>
      <c r="BF143" s="1"/>
      <c r="BG143" s="1"/>
      <c r="BH143" s="1"/>
      <c r="BI143" s="1"/>
      <c r="BJ143" s="1"/>
      <c r="BK143" s="1"/>
      <c r="BL143" s="1"/>
      <c r="BM143" s="1"/>
      <c r="BN143" s="1"/>
      <c r="BO143" s="1"/>
      <c r="BP143" s="1"/>
      <c r="BQ143" s="1"/>
      <c r="BR143" s="1"/>
      <c r="BS143" s="1"/>
      <c r="BT143" s="1"/>
    </row>
    <row r="144" spans="1:72" ht="15.75" x14ac:dyDescent="0.25"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20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  <c r="AV144" s="1"/>
      <c r="AW144" s="1"/>
      <c r="AX144" s="1"/>
      <c r="AY144" s="1"/>
      <c r="AZ144" s="1"/>
      <c r="BA144" s="1"/>
      <c r="BB144" s="1"/>
      <c r="BC144" s="1"/>
      <c r="BD144" s="1"/>
      <c r="BE144" s="1"/>
      <c r="BF144" s="1"/>
      <c r="BG144" s="1"/>
      <c r="BH144" s="1"/>
      <c r="BI144" s="1"/>
      <c r="BJ144" s="1"/>
      <c r="BK144" s="1"/>
      <c r="BL144" s="1"/>
      <c r="BM144" s="1"/>
      <c r="BN144" s="1"/>
      <c r="BO144" s="1"/>
      <c r="BP144" s="1"/>
      <c r="BQ144" s="1"/>
      <c r="BR144" s="1"/>
      <c r="BS144" s="1"/>
      <c r="BT144" s="1"/>
    </row>
  </sheetData>
  <mergeCells count="100">
    <mergeCell ref="J112:J113"/>
    <mergeCell ref="K112:K113"/>
    <mergeCell ref="N112:N113"/>
    <mergeCell ref="F113:G113"/>
    <mergeCell ref="J8:M8"/>
    <mergeCell ref="I112:I113"/>
    <mergeCell ref="L22:Q25"/>
    <mergeCell ref="O29:U29"/>
    <mergeCell ref="A105:D105"/>
    <mergeCell ref="A106:D106"/>
    <mergeCell ref="A107:D107"/>
    <mergeCell ref="A108:D108"/>
    <mergeCell ref="A109:D109"/>
    <mergeCell ref="A104:D104"/>
    <mergeCell ref="A93:D93"/>
    <mergeCell ref="A94:D94"/>
    <mergeCell ref="A95:D95"/>
    <mergeCell ref="A96:D96"/>
    <mergeCell ref="A97:D97"/>
    <mergeCell ref="A98:D98"/>
    <mergeCell ref="A99:D99"/>
    <mergeCell ref="A100:D100"/>
    <mergeCell ref="A101:D101"/>
    <mergeCell ref="A102:D102"/>
    <mergeCell ref="A103:D103"/>
    <mergeCell ref="A92:D92"/>
    <mergeCell ref="A76:D76"/>
    <mergeCell ref="A79:B79"/>
    <mergeCell ref="J79:K79"/>
    <mergeCell ref="A80:D80"/>
    <mergeCell ref="A81:D81"/>
    <mergeCell ref="A83:B83"/>
    <mergeCell ref="A84:D84"/>
    <mergeCell ref="A85:D85"/>
    <mergeCell ref="A89:D89"/>
    <mergeCell ref="A90:D90"/>
    <mergeCell ref="A91:D91"/>
    <mergeCell ref="A75:D75"/>
    <mergeCell ref="A62:D62"/>
    <mergeCell ref="A63:D63"/>
    <mergeCell ref="A64:D64"/>
    <mergeCell ref="A65:D65"/>
    <mergeCell ref="A66:D66"/>
    <mergeCell ref="A68:B68"/>
    <mergeCell ref="A69:D69"/>
    <mergeCell ref="A70:D70"/>
    <mergeCell ref="A71:D71"/>
    <mergeCell ref="A73:B73"/>
    <mergeCell ref="A74:D74"/>
    <mergeCell ref="A61:D61"/>
    <mergeCell ref="A46:D46"/>
    <mergeCell ref="A48:D48"/>
    <mergeCell ref="A49:D49"/>
    <mergeCell ref="A50:D50"/>
    <mergeCell ref="A51:D51"/>
    <mergeCell ref="A52:D52"/>
    <mergeCell ref="A53:D53"/>
    <mergeCell ref="A56:D56"/>
    <mergeCell ref="A58:D58"/>
    <mergeCell ref="A59:D59"/>
    <mergeCell ref="A60:D60"/>
    <mergeCell ref="A33:D33"/>
    <mergeCell ref="A45:D45"/>
    <mergeCell ref="A34:D34"/>
    <mergeCell ref="A35:D35"/>
    <mergeCell ref="A36:D36"/>
    <mergeCell ref="A37:D37"/>
    <mergeCell ref="A38:D38"/>
    <mergeCell ref="A39:D39"/>
    <mergeCell ref="A40:D40"/>
    <mergeCell ref="A41:D41"/>
    <mergeCell ref="A42:D42"/>
    <mergeCell ref="A43:D43"/>
    <mergeCell ref="A44:D44"/>
    <mergeCell ref="A25:D25"/>
    <mergeCell ref="V29:X29"/>
    <mergeCell ref="A30:D30"/>
    <mergeCell ref="A31:D31"/>
    <mergeCell ref="A32:D32"/>
    <mergeCell ref="A26:D26"/>
    <mergeCell ref="A21:D21"/>
    <mergeCell ref="A22:D22"/>
    <mergeCell ref="A23:D23"/>
    <mergeCell ref="A24:D24"/>
    <mergeCell ref="A17:D17"/>
    <mergeCell ref="A20:D20"/>
    <mergeCell ref="A19:D19"/>
    <mergeCell ref="A1:H1"/>
    <mergeCell ref="A2:H2"/>
    <mergeCell ref="B5:J5"/>
    <mergeCell ref="A8:D8"/>
    <mergeCell ref="A9:D9"/>
    <mergeCell ref="A10:D10"/>
    <mergeCell ref="A11:D11"/>
    <mergeCell ref="A12:D12"/>
    <mergeCell ref="A13:D13"/>
    <mergeCell ref="A18:D18"/>
    <mergeCell ref="A14:D14"/>
    <mergeCell ref="A15:D15"/>
    <mergeCell ref="A16:D16"/>
  </mergeCells>
  <pageMargins left="0.7" right="0.7" top="0.75" bottom="0.75" header="0.3" footer="0.3"/>
  <pageSetup paperSize="9" scale="23" fitToWidth="0" orientation="landscape" horizontalDpi="300" verticalDpi="300" r:id="rId1"/>
  <rowBreaks count="1" manualBreakCount="1">
    <brk id="123" max="16383" man="1"/>
  </rowBreaks>
  <ignoredErrors>
    <ignoredError sqref="H116:H118" formula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T120"/>
  <sheetViews>
    <sheetView view="pageBreakPreview" topLeftCell="A22" zoomScale="70" zoomScaleNormal="70" zoomScaleSheetLayoutView="70" workbookViewId="0">
      <selection activeCell="I34" sqref="I34"/>
    </sheetView>
  </sheetViews>
  <sheetFormatPr baseColWidth="10" defaultRowHeight="15" x14ac:dyDescent="0.25"/>
  <cols>
    <col min="4" max="4" width="14.5703125" customWidth="1"/>
    <col min="8" max="8" width="15.42578125" customWidth="1"/>
    <col min="10" max="10" width="13" customWidth="1"/>
    <col min="11" max="12" width="13.42578125" customWidth="1"/>
    <col min="13" max="13" width="12.5703125" customWidth="1"/>
  </cols>
  <sheetData>
    <row r="1" spans="1:72" ht="18.75" x14ac:dyDescent="0.3">
      <c r="A1" s="223" t="s">
        <v>1</v>
      </c>
      <c r="B1" s="223"/>
      <c r="C1" s="223"/>
      <c r="D1" s="223"/>
      <c r="E1" s="223"/>
      <c r="F1" s="223"/>
      <c r="G1" s="223"/>
      <c r="H1" s="223"/>
      <c r="I1" s="38"/>
      <c r="J1" s="16"/>
      <c r="K1" s="16"/>
      <c r="L1" s="16"/>
      <c r="M1" s="16"/>
      <c r="N1" s="16"/>
      <c r="O1" s="16"/>
      <c r="P1" s="16"/>
      <c r="Q1" s="16"/>
      <c r="R1" s="16"/>
      <c r="S1" s="16"/>
      <c r="T1" s="16"/>
      <c r="U1" s="16"/>
      <c r="V1" s="16"/>
      <c r="W1" s="16"/>
      <c r="X1" s="16"/>
      <c r="Y1" s="1"/>
      <c r="Z1" s="120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</row>
    <row r="2" spans="1:72" ht="18.75" x14ac:dyDescent="0.3">
      <c r="A2" s="223" t="s">
        <v>2</v>
      </c>
      <c r="B2" s="223"/>
      <c r="C2" s="223"/>
      <c r="D2" s="223"/>
      <c r="E2" s="223"/>
      <c r="F2" s="223"/>
      <c r="G2" s="223"/>
      <c r="H2" s="223"/>
      <c r="I2" s="38"/>
      <c r="J2" s="16"/>
      <c r="K2" s="38"/>
      <c r="L2" s="38"/>
      <c r="M2" s="16"/>
      <c r="N2" s="16"/>
      <c r="O2" s="16"/>
      <c r="P2" s="16"/>
      <c r="Q2" s="16"/>
      <c r="R2" s="16"/>
      <c r="S2" s="16"/>
      <c r="T2" s="16"/>
      <c r="U2" s="16"/>
      <c r="V2" s="16"/>
      <c r="W2" s="16"/>
      <c r="X2" s="16"/>
      <c r="Y2" s="1"/>
      <c r="Z2" s="120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</row>
    <row r="3" spans="1:72" ht="15.75" x14ac:dyDescent="0.25">
      <c r="A3" s="2" t="s">
        <v>3</v>
      </c>
      <c r="B3" s="16"/>
      <c r="C3" s="2"/>
      <c r="D3" s="16"/>
      <c r="E3" s="16"/>
      <c r="F3" s="16"/>
      <c r="G3" s="16"/>
      <c r="H3" s="16"/>
      <c r="I3" s="16"/>
      <c r="J3" s="7"/>
      <c r="K3" s="38"/>
      <c r="L3" s="38"/>
      <c r="M3" s="16"/>
      <c r="N3" s="16"/>
      <c r="O3" s="16"/>
      <c r="P3" s="16"/>
      <c r="Q3" s="16"/>
      <c r="R3" s="16"/>
      <c r="S3" s="16"/>
      <c r="T3" s="16"/>
      <c r="U3" s="16"/>
      <c r="V3" s="16"/>
      <c r="W3" s="16"/>
      <c r="X3" s="16"/>
      <c r="Y3" s="1"/>
      <c r="Z3" s="120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</row>
    <row r="4" spans="1:72" ht="15.75" x14ac:dyDescent="0.25">
      <c r="A4" s="2" t="s">
        <v>4</v>
      </c>
      <c r="B4" s="16"/>
      <c r="C4" s="10"/>
      <c r="D4" s="16"/>
      <c r="E4" s="16"/>
      <c r="F4" s="16"/>
      <c r="G4" s="16"/>
      <c r="H4" s="16"/>
      <c r="I4" s="16"/>
      <c r="J4" s="7"/>
      <c r="K4" s="38"/>
      <c r="L4" s="38"/>
      <c r="M4" s="16"/>
      <c r="N4" s="16"/>
      <c r="O4" s="16"/>
      <c r="P4" s="16"/>
      <c r="Q4" s="16"/>
      <c r="R4" s="16"/>
      <c r="S4" s="16"/>
      <c r="T4" s="16"/>
      <c r="U4" s="16"/>
      <c r="V4" s="16"/>
      <c r="W4" s="16"/>
      <c r="X4" s="16"/>
      <c r="Y4" s="1"/>
      <c r="Z4" s="120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/>
      <c r="BP4" s="1"/>
      <c r="BQ4" s="1"/>
      <c r="BR4" s="1"/>
      <c r="BS4" s="1"/>
      <c r="BT4" s="1"/>
    </row>
    <row r="5" spans="1:72" ht="15.75" x14ac:dyDescent="0.25">
      <c r="A5" s="2" t="s">
        <v>5</v>
      </c>
      <c r="B5" s="224"/>
      <c r="C5" s="224"/>
      <c r="D5" s="224"/>
      <c r="E5" s="224"/>
      <c r="F5" s="224"/>
      <c r="G5" s="224"/>
      <c r="H5" s="224"/>
      <c r="I5" s="224"/>
      <c r="J5" s="224"/>
      <c r="K5" s="38"/>
      <c r="L5" s="38"/>
      <c r="M5" s="16"/>
      <c r="N5" s="16"/>
      <c r="O5" s="16"/>
      <c r="P5" s="16"/>
      <c r="Q5" s="16"/>
      <c r="R5" s="16"/>
      <c r="S5" s="16"/>
      <c r="T5" s="16"/>
      <c r="U5" s="16"/>
      <c r="V5" s="16"/>
      <c r="W5" s="16"/>
      <c r="X5" s="16"/>
      <c r="Y5" s="1"/>
      <c r="Z5" s="120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  <c r="BB5" s="1"/>
      <c r="BC5" s="1"/>
      <c r="BD5" s="1"/>
      <c r="BE5" s="1"/>
      <c r="BF5" s="1"/>
      <c r="BG5" s="1"/>
      <c r="BH5" s="1"/>
      <c r="BI5" s="1"/>
      <c r="BJ5" s="1"/>
      <c r="BK5" s="1"/>
      <c r="BL5" s="1"/>
      <c r="BM5" s="1"/>
      <c r="BN5" s="1"/>
      <c r="BO5" s="1"/>
      <c r="BP5" s="1"/>
      <c r="BQ5" s="1"/>
      <c r="BR5" s="1"/>
      <c r="BS5" s="1"/>
      <c r="BT5" s="1"/>
    </row>
    <row r="6" spans="1:72" ht="15.75" x14ac:dyDescent="0.25">
      <c r="A6" s="126" t="s">
        <v>132</v>
      </c>
      <c r="B6" s="126"/>
      <c r="C6" s="16"/>
      <c r="D6" s="16"/>
      <c r="E6" s="16"/>
      <c r="F6" s="16"/>
      <c r="G6" s="16"/>
      <c r="H6" s="16"/>
      <c r="I6" s="16"/>
      <c r="J6" s="7"/>
      <c r="K6" s="38"/>
      <c r="L6" s="38"/>
      <c r="M6" s="16"/>
      <c r="N6" s="16"/>
      <c r="O6" s="16"/>
      <c r="P6" s="16"/>
      <c r="Q6" s="16"/>
      <c r="R6" s="16"/>
      <c r="S6" s="16"/>
      <c r="T6" s="16"/>
      <c r="U6" s="16"/>
      <c r="V6" s="16"/>
      <c r="W6" s="16"/>
      <c r="X6" s="16"/>
      <c r="Y6" s="1"/>
      <c r="Z6" s="120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/>
      <c r="BT6" s="1"/>
    </row>
    <row r="7" spans="1:72" ht="15.75" x14ac:dyDescent="0.25">
      <c r="A7" s="3" t="s">
        <v>6</v>
      </c>
      <c r="B7" s="1"/>
      <c r="C7" s="16"/>
      <c r="D7" s="16"/>
      <c r="E7" s="16"/>
      <c r="F7" s="16"/>
      <c r="G7" s="16"/>
      <c r="H7" s="16"/>
      <c r="I7" s="16"/>
      <c r="J7" s="16"/>
      <c r="K7" s="16"/>
      <c r="L7" s="16"/>
      <c r="M7" s="16"/>
      <c r="N7" s="16"/>
      <c r="O7" s="16"/>
      <c r="P7" s="16"/>
      <c r="Q7" s="16"/>
      <c r="R7" s="16"/>
      <c r="S7" s="16"/>
      <c r="T7" s="16"/>
      <c r="U7" s="16"/>
      <c r="V7" s="16"/>
      <c r="W7" s="16"/>
      <c r="X7" s="16"/>
      <c r="Y7" s="1"/>
      <c r="Z7" s="120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  <c r="AY7" s="1"/>
      <c r="AZ7" s="1"/>
      <c r="BA7" s="1"/>
      <c r="BB7" s="1"/>
      <c r="BC7" s="1"/>
      <c r="BD7" s="1"/>
      <c r="BE7" s="1"/>
      <c r="BF7" s="1"/>
      <c r="BG7" s="1"/>
      <c r="BH7" s="1"/>
      <c r="BI7" s="1"/>
      <c r="BJ7" s="1"/>
      <c r="BK7" s="1"/>
      <c r="BL7" s="1"/>
      <c r="BM7" s="1"/>
      <c r="BN7" s="1"/>
      <c r="BO7" s="1"/>
      <c r="BP7" s="1"/>
      <c r="BQ7" s="1"/>
      <c r="BR7" s="1"/>
      <c r="BS7" s="1"/>
      <c r="BT7" s="1"/>
    </row>
    <row r="8" spans="1:72" ht="15.75" x14ac:dyDescent="0.25">
      <c r="A8" s="225" t="s">
        <v>7</v>
      </c>
      <c r="B8" s="225"/>
      <c r="C8" s="225"/>
      <c r="D8" s="225"/>
      <c r="E8" s="122" t="s">
        <v>8</v>
      </c>
      <c r="F8" s="122" t="s">
        <v>9</v>
      </c>
      <c r="G8" s="122" t="s">
        <v>10</v>
      </c>
      <c r="H8" s="122" t="s">
        <v>0</v>
      </c>
      <c r="I8" s="22"/>
      <c r="J8" s="263" t="s">
        <v>136</v>
      </c>
      <c r="K8" s="263"/>
      <c r="L8" s="263"/>
      <c r="M8" s="263"/>
      <c r="N8" s="16"/>
      <c r="O8" s="16"/>
      <c r="P8" s="16"/>
      <c r="Q8" s="16"/>
      <c r="R8" s="16"/>
      <c r="S8" s="16"/>
      <c r="T8" s="16"/>
      <c r="U8" s="16"/>
      <c r="V8" s="16"/>
      <c r="W8" s="16"/>
      <c r="X8" s="16"/>
      <c r="Y8" s="1"/>
      <c r="Z8" s="120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  <c r="AY8" s="1"/>
      <c r="AZ8" s="1"/>
      <c r="BA8" s="1"/>
      <c r="BB8" s="1"/>
      <c r="BC8" s="1"/>
      <c r="BD8" s="1"/>
      <c r="BE8" s="1"/>
      <c r="BF8" s="1"/>
      <c r="BG8" s="1"/>
      <c r="BH8" s="1"/>
      <c r="BI8" s="1"/>
      <c r="BJ8" s="1"/>
      <c r="BK8" s="1"/>
      <c r="BL8" s="1"/>
      <c r="BM8" s="1"/>
      <c r="BN8" s="1"/>
      <c r="BO8" s="1"/>
      <c r="BP8" s="1"/>
      <c r="BQ8" s="1"/>
      <c r="BR8" s="1"/>
      <c r="BS8" s="1"/>
      <c r="BT8" s="1"/>
    </row>
    <row r="9" spans="1:72" ht="15.75" x14ac:dyDescent="0.25">
      <c r="A9" s="226" t="s">
        <v>181</v>
      </c>
      <c r="B9" s="227"/>
      <c r="C9" s="227"/>
      <c r="D9" s="228"/>
      <c r="E9" s="4" t="s">
        <v>11</v>
      </c>
      <c r="F9" s="128"/>
      <c r="G9" s="129"/>
      <c r="H9" s="148">
        <f>G9*F9</f>
        <v>0</v>
      </c>
      <c r="I9" s="38"/>
      <c r="J9" s="16"/>
      <c r="K9" s="139"/>
      <c r="L9" s="139"/>
      <c r="M9" s="139"/>
      <c r="N9" s="139"/>
      <c r="O9" s="16"/>
      <c r="P9" s="16"/>
      <c r="Q9" s="16"/>
      <c r="R9" s="16"/>
      <c r="S9" s="16"/>
      <c r="T9" s="16"/>
      <c r="U9" s="16"/>
      <c r="V9" s="16"/>
      <c r="W9" s="16"/>
      <c r="X9" s="16"/>
      <c r="Y9" s="1"/>
      <c r="Z9" s="120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  <c r="AX9" s="1"/>
      <c r="AY9" s="1"/>
      <c r="AZ9" s="1"/>
      <c r="BA9" s="1"/>
      <c r="BB9" s="1"/>
      <c r="BC9" s="1"/>
      <c r="BD9" s="1"/>
      <c r="BE9" s="1"/>
      <c r="BF9" s="1"/>
      <c r="BG9" s="1"/>
      <c r="BH9" s="1"/>
      <c r="BI9" s="1"/>
      <c r="BJ9" s="1"/>
      <c r="BK9" s="1"/>
      <c r="BL9" s="1"/>
      <c r="BM9" s="1"/>
      <c r="BN9" s="1"/>
      <c r="BO9" s="1"/>
      <c r="BP9" s="1"/>
      <c r="BQ9" s="1"/>
      <c r="BR9" s="1"/>
      <c r="BS9" s="1"/>
      <c r="BT9" s="1"/>
    </row>
    <row r="10" spans="1:72" ht="15.75" x14ac:dyDescent="0.25">
      <c r="A10" s="270"/>
      <c r="B10" s="270"/>
      <c r="C10" s="270"/>
      <c r="D10" s="270"/>
      <c r="E10" s="4" t="s">
        <v>11</v>
      </c>
      <c r="F10" s="128"/>
      <c r="G10" s="129"/>
      <c r="H10" s="148">
        <f t="shared" ref="H10:H16" si="0">G10*F10</f>
        <v>0</v>
      </c>
      <c r="I10" s="134"/>
      <c r="J10" s="16"/>
      <c r="K10" s="139"/>
      <c r="L10" s="139"/>
      <c r="M10" s="139"/>
      <c r="N10" s="139"/>
      <c r="O10" s="16"/>
      <c r="P10" s="16"/>
      <c r="Q10" s="16"/>
      <c r="R10" s="16"/>
      <c r="S10" s="16"/>
      <c r="T10" s="16"/>
      <c r="U10" s="16"/>
      <c r="V10" s="16"/>
      <c r="W10" s="16"/>
      <c r="X10" s="16"/>
      <c r="Y10" s="1"/>
      <c r="Z10" s="120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  <c r="AY10" s="1"/>
      <c r="AZ10" s="1"/>
      <c r="BA10" s="1"/>
      <c r="BB10" s="1"/>
      <c r="BC10" s="1"/>
      <c r="BD10" s="1"/>
      <c r="BE10" s="1"/>
      <c r="BF10" s="1"/>
      <c r="BG10" s="1"/>
      <c r="BH10" s="1"/>
      <c r="BI10" s="1"/>
      <c r="BJ10" s="1"/>
      <c r="BK10" s="1"/>
      <c r="BL10" s="1"/>
      <c r="BM10" s="1"/>
      <c r="BN10" s="1"/>
      <c r="BO10" s="1"/>
      <c r="BP10" s="1"/>
      <c r="BQ10" s="1"/>
      <c r="BR10" s="1"/>
      <c r="BS10" s="1"/>
      <c r="BT10" s="1"/>
    </row>
    <row r="11" spans="1:72" ht="15.75" x14ac:dyDescent="0.25">
      <c r="A11" s="271"/>
      <c r="B11" s="272"/>
      <c r="C11" s="272"/>
      <c r="D11" s="273"/>
      <c r="E11" s="4" t="s">
        <v>11</v>
      </c>
      <c r="F11" s="128"/>
      <c r="G11" s="129"/>
      <c r="H11" s="148">
        <f t="shared" si="0"/>
        <v>0</v>
      </c>
      <c r="I11" s="134"/>
      <c r="J11" s="16"/>
      <c r="K11" s="139"/>
      <c r="L11" s="139"/>
      <c r="M11" s="139"/>
      <c r="N11" s="139"/>
      <c r="O11" s="16"/>
      <c r="P11" s="16"/>
      <c r="Q11" s="16"/>
      <c r="R11" s="16"/>
      <c r="S11" s="16"/>
      <c r="T11" s="16"/>
      <c r="U11" s="16"/>
      <c r="V11" s="16"/>
      <c r="W11" s="16"/>
      <c r="X11" s="16"/>
      <c r="Y11" s="1"/>
      <c r="Z11" s="120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  <c r="AY11" s="1"/>
      <c r="AZ11" s="1"/>
      <c r="BA11" s="1"/>
      <c r="BB11" s="1"/>
      <c r="BC11" s="1"/>
      <c r="BD11" s="1"/>
      <c r="BE11" s="1"/>
      <c r="BF11" s="1"/>
      <c r="BG11" s="1"/>
      <c r="BH11" s="1"/>
      <c r="BI11" s="1"/>
      <c r="BJ11" s="1"/>
      <c r="BK11" s="1"/>
      <c r="BL11" s="1"/>
      <c r="BM11" s="1"/>
      <c r="BN11" s="1"/>
      <c r="BO11" s="1"/>
      <c r="BP11" s="1"/>
      <c r="BQ11" s="1"/>
      <c r="BR11" s="1"/>
      <c r="BS11" s="1"/>
      <c r="BT11" s="1"/>
    </row>
    <row r="12" spans="1:72" ht="15.75" x14ac:dyDescent="0.25">
      <c r="A12" s="271"/>
      <c r="B12" s="272"/>
      <c r="C12" s="272"/>
      <c r="D12" s="273"/>
      <c r="E12" s="4" t="s">
        <v>11</v>
      </c>
      <c r="F12" s="128"/>
      <c r="G12" s="129"/>
      <c r="H12" s="148">
        <f t="shared" si="0"/>
        <v>0</v>
      </c>
      <c r="I12" s="134"/>
      <c r="J12" s="16"/>
      <c r="K12" s="139"/>
      <c r="L12" s="139"/>
      <c r="M12" s="139"/>
      <c r="N12" s="139"/>
      <c r="O12" s="16"/>
      <c r="P12" s="16"/>
      <c r="Q12" s="16"/>
      <c r="R12" s="16"/>
      <c r="S12" s="16"/>
      <c r="T12" s="16"/>
      <c r="U12" s="16"/>
      <c r="V12" s="16"/>
      <c r="W12" s="16"/>
      <c r="X12" s="16"/>
      <c r="Y12" s="1"/>
      <c r="Z12" s="120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  <c r="AY12" s="1"/>
      <c r="AZ12" s="1"/>
      <c r="BA12" s="1"/>
      <c r="BB12" s="1"/>
      <c r="BC12" s="1"/>
      <c r="BD12" s="1"/>
      <c r="BE12" s="1"/>
      <c r="BF12" s="1"/>
      <c r="BG12" s="1"/>
      <c r="BH12" s="1"/>
      <c r="BI12" s="1"/>
      <c r="BJ12" s="1"/>
      <c r="BK12" s="1"/>
      <c r="BL12" s="1"/>
      <c r="BM12" s="1"/>
      <c r="BN12" s="1"/>
      <c r="BO12" s="1"/>
      <c r="BP12" s="1"/>
      <c r="BQ12" s="1"/>
      <c r="BR12" s="1"/>
      <c r="BS12" s="1"/>
      <c r="BT12" s="1"/>
    </row>
    <row r="13" spans="1:72" ht="15.75" x14ac:dyDescent="0.25">
      <c r="A13" s="271"/>
      <c r="B13" s="272"/>
      <c r="C13" s="272"/>
      <c r="D13" s="273"/>
      <c r="E13" s="4" t="s">
        <v>11</v>
      </c>
      <c r="F13" s="128"/>
      <c r="G13" s="129"/>
      <c r="H13" s="148">
        <f t="shared" si="0"/>
        <v>0</v>
      </c>
      <c r="I13" s="134"/>
      <c r="J13" s="16"/>
      <c r="K13" s="139"/>
      <c r="L13" s="139"/>
      <c r="M13" s="139"/>
      <c r="N13" s="139"/>
      <c r="O13" s="16"/>
      <c r="P13" s="16"/>
      <c r="Q13" s="16"/>
      <c r="R13" s="16"/>
      <c r="S13" s="16"/>
      <c r="T13" s="16"/>
      <c r="U13" s="16"/>
      <c r="V13" s="16"/>
      <c r="W13" s="16"/>
      <c r="X13" s="16"/>
      <c r="Y13" s="1"/>
      <c r="Z13" s="120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  <c r="AY13" s="1"/>
      <c r="AZ13" s="1"/>
      <c r="BA13" s="1"/>
      <c r="BB13" s="1"/>
      <c r="BC13" s="1"/>
      <c r="BD13" s="1"/>
      <c r="BE13" s="1"/>
      <c r="BF13" s="1"/>
      <c r="BG13" s="1"/>
      <c r="BH13" s="1"/>
      <c r="BI13" s="1"/>
      <c r="BJ13" s="1"/>
      <c r="BK13" s="1"/>
      <c r="BL13" s="1"/>
      <c r="BM13" s="1"/>
      <c r="BN13" s="1"/>
      <c r="BO13" s="1"/>
      <c r="BP13" s="1"/>
      <c r="BQ13" s="1"/>
      <c r="BR13" s="1"/>
      <c r="BS13" s="1"/>
      <c r="BT13" s="1"/>
    </row>
    <row r="14" spans="1:72" ht="15.75" x14ac:dyDescent="0.25">
      <c r="A14" s="271"/>
      <c r="B14" s="272"/>
      <c r="C14" s="272"/>
      <c r="D14" s="273"/>
      <c r="E14" s="4" t="s">
        <v>11</v>
      </c>
      <c r="F14" s="128"/>
      <c r="G14" s="129"/>
      <c r="H14" s="148">
        <f t="shared" si="0"/>
        <v>0</v>
      </c>
      <c r="I14" s="134"/>
      <c r="J14" s="16"/>
      <c r="K14" s="139"/>
      <c r="L14" s="139"/>
      <c r="M14" s="139"/>
      <c r="N14" s="139"/>
      <c r="O14" s="16"/>
      <c r="P14" s="16"/>
      <c r="Q14" s="16"/>
      <c r="R14" s="16"/>
      <c r="S14" s="16"/>
      <c r="T14" s="16"/>
      <c r="U14" s="16"/>
      <c r="V14" s="16"/>
      <c r="W14" s="16"/>
      <c r="X14" s="16"/>
      <c r="Y14" s="1"/>
      <c r="Z14" s="120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  <c r="AX14" s="1"/>
      <c r="AY14" s="1"/>
      <c r="AZ14" s="1"/>
      <c r="BA14" s="1"/>
      <c r="BB14" s="1"/>
      <c r="BC14" s="1"/>
      <c r="BD14" s="1"/>
      <c r="BE14" s="1"/>
      <c r="BF14" s="1"/>
      <c r="BG14" s="1"/>
      <c r="BH14" s="1"/>
      <c r="BI14" s="1"/>
      <c r="BJ14" s="1"/>
      <c r="BK14" s="1"/>
      <c r="BL14" s="1"/>
      <c r="BM14" s="1"/>
      <c r="BN14" s="1"/>
      <c r="BO14" s="1"/>
      <c r="BP14" s="1"/>
      <c r="BQ14" s="1"/>
      <c r="BR14" s="1"/>
      <c r="BS14" s="1"/>
      <c r="BT14" s="1"/>
    </row>
    <row r="15" spans="1:72" ht="15.75" x14ac:dyDescent="0.25">
      <c r="A15" s="271"/>
      <c r="B15" s="272"/>
      <c r="C15" s="272"/>
      <c r="D15" s="273"/>
      <c r="E15" s="4" t="s">
        <v>11</v>
      </c>
      <c r="F15" s="128"/>
      <c r="G15" s="129"/>
      <c r="H15" s="148">
        <f t="shared" si="0"/>
        <v>0</v>
      </c>
      <c r="I15" s="134"/>
      <c r="J15" s="16"/>
      <c r="K15" s="139"/>
      <c r="L15" s="139"/>
      <c r="M15" s="139"/>
      <c r="N15" s="139"/>
      <c r="O15" s="16"/>
      <c r="P15" s="16"/>
      <c r="Q15" s="16"/>
      <c r="R15" s="16"/>
      <c r="S15" s="16"/>
      <c r="T15" s="16"/>
      <c r="U15" s="16"/>
      <c r="V15" s="16"/>
      <c r="W15" s="16"/>
      <c r="X15" s="16"/>
      <c r="Y15" s="1"/>
      <c r="Z15" s="120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  <c r="AX15" s="1"/>
      <c r="AY15" s="1"/>
      <c r="AZ15" s="1"/>
      <c r="BA15" s="1"/>
      <c r="BB15" s="1"/>
      <c r="BC15" s="1"/>
      <c r="BD15" s="1"/>
      <c r="BE15" s="1"/>
      <c r="BF15" s="1"/>
      <c r="BG15" s="1"/>
      <c r="BH15" s="1"/>
      <c r="BI15" s="1"/>
      <c r="BJ15" s="1"/>
      <c r="BK15" s="1"/>
      <c r="BL15" s="1"/>
      <c r="BM15" s="1"/>
      <c r="BN15" s="1"/>
      <c r="BO15" s="1"/>
      <c r="BP15" s="1"/>
      <c r="BQ15" s="1"/>
      <c r="BR15" s="1"/>
      <c r="BS15" s="1"/>
      <c r="BT15" s="1"/>
    </row>
    <row r="16" spans="1:72" ht="15.75" x14ac:dyDescent="0.25">
      <c r="A16" s="220"/>
      <c r="B16" s="221"/>
      <c r="C16" s="221"/>
      <c r="D16" s="222"/>
      <c r="E16" s="4" t="s">
        <v>11</v>
      </c>
      <c r="F16" s="128"/>
      <c r="G16" s="129"/>
      <c r="H16" s="148">
        <f t="shared" si="0"/>
        <v>0</v>
      </c>
      <c r="I16" s="134">
        <f>H16*1.455</f>
        <v>0</v>
      </c>
      <c r="J16" s="16"/>
      <c r="K16" s="139"/>
      <c r="L16" s="139"/>
      <c r="M16" s="139"/>
      <c r="N16" s="139"/>
      <c r="O16" s="16"/>
      <c r="P16" s="16"/>
      <c r="Q16" s="16"/>
      <c r="R16" s="16"/>
      <c r="S16" s="16"/>
      <c r="T16" s="16"/>
      <c r="U16" s="16"/>
      <c r="V16" s="16"/>
      <c r="W16" s="16"/>
      <c r="X16" s="16"/>
      <c r="Y16" s="1"/>
      <c r="Z16" s="120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  <c r="AX16" s="1"/>
      <c r="AY16" s="1"/>
      <c r="AZ16" s="1"/>
      <c r="BA16" s="1"/>
      <c r="BB16" s="1"/>
      <c r="BC16" s="1"/>
      <c r="BD16" s="1"/>
      <c r="BE16" s="1"/>
      <c r="BF16" s="1"/>
      <c r="BG16" s="1"/>
      <c r="BH16" s="1"/>
      <c r="BI16" s="1"/>
      <c r="BJ16" s="1"/>
      <c r="BK16" s="1"/>
      <c r="BL16" s="1"/>
      <c r="BM16" s="1"/>
      <c r="BN16" s="1"/>
      <c r="BO16" s="1"/>
      <c r="BP16" s="1"/>
      <c r="BQ16" s="1"/>
      <c r="BR16" s="1"/>
      <c r="BS16" s="1"/>
      <c r="BT16" s="1"/>
    </row>
    <row r="17" spans="1:72" ht="15.75" x14ac:dyDescent="0.25">
      <c r="A17" s="16"/>
      <c r="B17" s="16"/>
      <c r="C17" s="16"/>
      <c r="D17" s="16"/>
      <c r="E17" s="16"/>
      <c r="F17" s="16"/>
      <c r="G17" s="6" t="s">
        <v>12</v>
      </c>
      <c r="H17" s="6">
        <f>SUM(H9:H16)</f>
        <v>0</v>
      </c>
      <c r="I17" s="134"/>
      <c r="J17" s="2"/>
      <c r="K17" s="139"/>
      <c r="L17" s="139"/>
      <c r="M17" s="143"/>
      <c r="N17" s="139"/>
      <c r="O17" s="16"/>
      <c r="P17" s="16"/>
      <c r="Q17" s="16"/>
      <c r="R17" s="16"/>
      <c r="S17" s="16"/>
      <c r="T17" s="16"/>
      <c r="U17" s="16"/>
      <c r="V17" s="16"/>
      <c r="W17" s="16"/>
      <c r="X17" s="16"/>
      <c r="Y17" s="1"/>
      <c r="Z17" s="120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  <c r="AX17" s="1"/>
      <c r="AY17" s="1"/>
      <c r="AZ17" s="1"/>
      <c r="BA17" s="1"/>
      <c r="BB17" s="1"/>
      <c r="BC17" s="1"/>
      <c r="BD17" s="1"/>
      <c r="BE17" s="1"/>
      <c r="BF17" s="1"/>
      <c r="BG17" s="1"/>
      <c r="BH17" s="1"/>
      <c r="BI17" s="1"/>
      <c r="BJ17" s="1"/>
      <c r="BK17" s="1"/>
      <c r="BL17" s="1"/>
      <c r="BM17" s="1"/>
      <c r="BN17" s="1"/>
      <c r="BO17" s="1"/>
      <c r="BP17" s="1"/>
      <c r="BQ17" s="1"/>
      <c r="BR17" s="1"/>
      <c r="BS17" s="1"/>
      <c r="BT17" s="1"/>
    </row>
    <row r="18" spans="1:72" ht="15.75" x14ac:dyDescent="0.25">
      <c r="A18" s="27"/>
      <c r="B18" s="16"/>
      <c r="C18" s="16"/>
      <c r="D18" s="16"/>
      <c r="E18" s="16"/>
      <c r="F18" s="16"/>
      <c r="G18" s="16"/>
      <c r="H18" s="30"/>
      <c r="I18" s="30"/>
      <c r="J18" s="144"/>
      <c r="K18" s="144"/>
      <c r="L18" s="16"/>
      <c r="M18" s="3"/>
      <c r="N18" s="16"/>
      <c r="O18" s="16"/>
      <c r="P18" s="16"/>
      <c r="Q18" s="16"/>
      <c r="R18" s="16"/>
      <c r="S18" s="16"/>
      <c r="T18" s="16"/>
      <c r="U18" s="16"/>
      <c r="V18" s="16"/>
      <c r="W18" s="16"/>
      <c r="X18" s="16"/>
      <c r="Y18" s="1"/>
      <c r="Z18" s="120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/>
      <c r="AY18" s="1"/>
      <c r="AZ18" s="1"/>
      <c r="BA18" s="1"/>
      <c r="BB18" s="1"/>
      <c r="BC18" s="1"/>
      <c r="BD18" s="1"/>
      <c r="BE18" s="1"/>
      <c r="BF18" s="1"/>
      <c r="BG18" s="1"/>
      <c r="BH18" s="1"/>
      <c r="BI18" s="1"/>
      <c r="BJ18" s="1"/>
      <c r="BK18" s="1"/>
      <c r="BL18" s="1"/>
      <c r="BM18" s="1"/>
      <c r="BN18" s="1"/>
      <c r="BO18" s="1"/>
      <c r="BP18" s="1"/>
      <c r="BQ18" s="1"/>
      <c r="BR18" s="1"/>
      <c r="BS18" s="1"/>
      <c r="BT18" s="1"/>
    </row>
    <row r="19" spans="1:72" ht="15.75" x14ac:dyDescent="0.25">
      <c r="A19" s="3" t="s">
        <v>13</v>
      </c>
      <c r="B19" s="7"/>
      <c r="C19" s="7"/>
      <c r="D19" s="7"/>
      <c r="E19" s="7"/>
      <c r="F19" s="7"/>
      <c r="G19" s="8"/>
      <c r="H19" s="9"/>
      <c r="I19" s="9"/>
      <c r="J19" s="10"/>
      <c r="K19" s="7"/>
      <c r="L19" s="7"/>
      <c r="M19" s="7"/>
      <c r="N19" s="7"/>
      <c r="O19" s="267" t="s">
        <v>14</v>
      </c>
      <c r="P19" s="268"/>
      <c r="Q19" s="268"/>
      <c r="R19" s="268"/>
      <c r="S19" s="268"/>
      <c r="T19" s="268"/>
      <c r="U19" s="269"/>
      <c r="V19" s="229" t="s">
        <v>15</v>
      </c>
      <c r="W19" s="229"/>
      <c r="X19" s="230"/>
      <c r="Y19" s="1" t="s">
        <v>157</v>
      </c>
      <c r="Z19" s="120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  <c r="AX19" s="1"/>
      <c r="AY19" s="1"/>
      <c r="AZ19" s="1"/>
      <c r="BA19" s="1"/>
      <c r="BB19" s="1"/>
      <c r="BC19" s="1"/>
      <c r="BD19" s="1"/>
      <c r="BE19" s="1"/>
      <c r="BF19" s="1"/>
      <c r="BG19" s="1"/>
      <c r="BH19" s="1"/>
      <c r="BI19" s="1"/>
      <c r="BJ19" s="1"/>
      <c r="BK19" s="1"/>
      <c r="BL19" s="1"/>
      <c r="BM19" s="1"/>
      <c r="BN19" s="1"/>
      <c r="BO19" s="1"/>
      <c r="BP19" s="1"/>
      <c r="BQ19" s="1"/>
      <c r="BR19" s="1"/>
      <c r="BS19" s="1"/>
      <c r="BT19" s="1"/>
    </row>
    <row r="20" spans="1:72" ht="31.5" x14ac:dyDescent="0.25">
      <c r="A20" s="231" t="s">
        <v>16</v>
      </c>
      <c r="B20" s="231"/>
      <c r="C20" s="231"/>
      <c r="D20" s="231"/>
      <c r="E20" s="121" t="s">
        <v>8</v>
      </c>
      <c r="F20" s="121" t="s">
        <v>9</v>
      </c>
      <c r="G20" s="121" t="s">
        <v>159</v>
      </c>
      <c r="H20" s="121" t="s">
        <v>0</v>
      </c>
      <c r="I20" s="121" t="s">
        <v>9</v>
      </c>
      <c r="J20" s="121" t="s">
        <v>17</v>
      </c>
      <c r="K20" s="121" t="s">
        <v>0</v>
      </c>
      <c r="L20" s="121" t="s">
        <v>9</v>
      </c>
      <c r="M20" s="11" t="s">
        <v>160</v>
      </c>
      <c r="N20" s="121" t="s">
        <v>0</v>
      </c>
      <c r="O20" s="121" t="s">
        <v>18</v>
      </c>
      <c r="P20" s="121" t="s">
        <v>19</v>
      </c>
      <c r="Q20" s="121" t="s">
        <v>20</v>
      </c>
      <c r="R20" s="121" t="s">
        <v>21</v>
      </c>
      <c r="S20" s="121" t="s">
        <v>22</v>
      </c>
      <c r="T20" s="121" t="s">
        <v>23</v>
      </c>
      <c r="U20" s="121" t="s">
        <v>24</v>
      </c>
      <c r="V20" s="11" t="s">
        <v>25</v>
      </c>
      <c r="W20" s="11" t="s">
        <v>24</v>
      </c>
      <c r="X20" s="11" t="s">
        <v>26</v>
      </c>
      <c r="Y20" s="1"/>
      <c r="Z20" s="120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  <c r="AX20" s="1"/>
      <c r="AY20" s="1"/>
      <c r="AZ20" s="1"/>
      <c r="BA20" s="1"/>
      <c r="BB20" s="1"/>
      <c r="BC20" s="1"/>
      <c r="BD20" s="1"/>
      <c r="BE20" s="1"/>
      <c r="BF20" s="1"/>
      <c r="BG20" s="1"/>
      <c r="BH20" s="1"/>
      <c r="BI20" s="1"/>
      <c r="BJ20" s="1"/>
      <c r="BK20" s="1"/>
      <c r="BL20" s="1"/>
      <c r="BM20" s="1"/>
      <c r="BN20" s="1"/>
      <c r="BO20" s="1"/>
      <c r="BP20" s="1"/>
      <c r="BQ20" s="1"/>
      <c r="BR20" s="1"/>
      <c r="BS20" s="1"/>
      <c r="BT20" s="1"/>
    </row>
    <row r="21" spans="1:72" ht="15.75" x14ac:dyDescent="0.25">
      <c r="A21" s="232" t="s">
        <v>30</v>
      </c>
      <c r="B21" s="233"/>
      <c r="C21" s="233"/>
      <c r="D21" s="234"/>
      <c r="E21" s="124" t="s">
        <v>28</v>
      </c>
      <c r="F21" s="128"/>
      <c r="G21" s="12">
        <v>390.39</v>
      </c>
      <c r="H21" s="12">
        <f t="shared" ref="H21:H35" si="1">F21*G21</f>
        <v>0</v>
      </c>
      <c r="I21" s="128"/>
      <c r="J21" s="13">
        <v>358.81</v>
      </c>
      <c r="K21" s="13">
        <f t="shared" ref="K21:K43" si="2">I21*J21</f>
        <v>0</v>
      </c>
      <c r="L21" s="129"/>
      <c r="M21" s="13">
        <v>538.27</v>
      </c>
      <c r="N21" s="13">
        <f t="shared" ref="N21:N43" si="3">L21*M21</f>
        <v>0</v>
      </c>
      <c r="O21" s="107"/>
      <c r="P21" s="107"/>
      <c r="Q21" s="107"/>
      <c r="R21" s="107"/>
      <c r="S21" s="107"/>
      <c r="T21" s="107"/>
      <c r="U21" s="107"/>
      <c r="V21" s="15">
        <f t="shared" ref="V21:V43" si="4">+O21+P21+Q21+R21+S21+T21+U21-W21-X21</f>
        <v>0</v>
      </c>
      <c r="W21" s="107"/>
      <c r="X21" s="107"/>
      <c r="Y21" s="16"/>
      <c r="Z21" s="17"/>
      <c r="AA21" s="16"/>
      <c r="AB21" s="16"/>
      <c r="AC21" s="16"/>
      <c r="AD21" s="16"/>
      <c r="AE21" s="16"/>
      <c r="AF21" s="16"/>
      <c r="AG21" s="16"/>
      <c r="AH21" s="16"/>
      <c r="AI21" s="16"/>
      <c r="AJ21" s="16"/>
      <c r="AK21" s="16"/>
      <c r="AL21" s="16"/>
      <c r="AM21" s="16"/>
      <c r="AN21" s="16"/>
      <c r="AO21" s="16"/>
      <c r="AP21" s="16"/>
      <c r="AQ21" s="16"/>
      <c r="AR21" s="16"/>
      <c r="AS21" s="16"/>
      <c r="AT21" s="16"/>
      <c r="AU21" s="16"/>
      <c r="AV21" s="16"/>
      <c r="AW21" s="16"/>
      <c r="AX21" s="16"/>
      <c r="AY21" s="16"/>
      <c r="AZ21" s="16"/>
      <c r="BA21" s="16"/>
      <c r="BB21" s="16"/>
      <c r="BC21" s="16"/>
      <c r="BD21" s="16"/>
      <c r="BE21" s="16"/>
      <c r="BF21" s="16"/>
      <c r="BG21" s="16"/>
      <c r="BH21" s="16"/>
      <c r="BI21" s="16"/>
      <c r="BJ21" s="16"/>
      <c r="BK21" s="16"/>
      <c r="BL21" s="16"/>
      <c r="BM21" s="16"/>
      <c r="BN21" s="16"/>
      <c r="BO21" s="16"/>
      <c r="BP21" s="16"/>
      <c r="BQ21" s="16"/>
      <c r="BR21" s="16"/>
      <c r="BS21" s="16"/>
      <c r="BT21" s="16"/>
    </row>
    <row r="22" spans="1:72" ht="15.75" x14ac:dyDescent="0.25">
      <c r="A22" s="235" t="s">
        <v>163</v>
      </c>
      <c r="B22" s="235"/>
      <c r="C22" s="235"/>
      <c r="D22" s="235"/>
      <c r="E22" s="124" t="s">
        <v>28</v>
      </c>
      <c r="F22" s="128"/>
      <c r="G22" s="12">
        <v>317.98</v>
      </c>
      <c r="H22" s="12">
        <f t="shared" si="1"/>
        <v>0</v>
      </c>
      <c r="I22" s="128"/>
      <c r="J22" s="13">
        <v>326.25</v>
      </c>
      <c r="K22" s="13">
        <f t="shared" si="2"/>
        <v>0</v>
      </c>
      <c r="L22" s="129"/>
      <c r="M22" s="13">
        <v>489.37</v>
      </c>
      <c r="N22" s="13">
        <f t="shared" si="3"/>
        <v>0</v>
      </c>
      <c r="O22" s="107"/>
      <c r="P22" s="107"/>
      <c r="Q22" s="107"/>
      <c r="R22" s="107"/>
      <c r="S22" s="107"/>
      <c r="T22" s="107"/>
      <c r="U22" s="107"/>
      <c r="V22" s="15">
        <f t="shared" si="4"/>
        <v>0</v>
      </c>
      <c r="W22" s="107"/>
      <c r="X22" s="107"/>
      <c r="Y22" s="16" t="s">
        <v>168</v>
      </c>
      <c r="Z22" s="17"/>
      <c r="AA22" s="16"/>
      <c r="AB22" s="16"/>
      <c r="AC22" s="16"/>
      <c r="AD22" s="16"/>
      <c r="AE22" s="16"/>
      <c r="AF22" s="16"/>
      <c r="AG22" s="16"/>
      <c r="AH22" s="16"/>
      <c r="AI22" s="16"/>
      <c r="AJ22" s="16"/>
      <c r="AK22" s="16"/>
      <c r="AL22" s="16"/>
      <c r="AM22" s="16"/>
      <c r="AN22" s="16"/>
      <c r="AO22" s="16"/>
      <c r="AP22" s="16"/>
      <c r="AQ22" s="16"/>
      <c r="AR22" s="16"/>
      <c r="AS22" s="16"/>
      <c r="AT22" s="16"/>
      <c r="AU22" s="16"/>
      <c r="AV22" s="16"/>
      <c r="AW22" s="16"/>
      <c r="AX22" s="16"/>
      <c r="AY22" s="16"/>
      <c r="AZ22" s="16"/>
      <c r="BA22" s="16"/>
      <c r="BB22" s="16"/>
      <c r="BC22" s="16"/>
      <c r="BD22" s="16"/>
      <c r="BE22" s="16"/>
      <c r="BF22" s="16"/>
      <c r="BG22" s="16"/>
      <c r="BH22" s="16"/>
      <c r="BI22" s="16"/>
      <c r="BJ22" s="16"/>
      <c r="BK22" s="16"/>
      <c r="BL22" s="16"/>
      <c r="BM22" s="16"/>
      <c r="BN22" s="16"/>
      <c r="BO22" s="16"/>
      <c r="BP22" s="16"/>
      <c r="BQ22" s="16"/>
      <c r="BR22" s="16"/>
      <c r="BS22" s="16"/>
      <c r="BT22" s="16"/>
    </row>
    <row r="23" spans="1:72" s="102" customFormat="1" ht="15.75" x14ac:dyDescent="0.25">
      <c r="A23" s="232" t="s">
        <v>31</v>
      </c>
      <c r="B23" s="233"/>
      <c r="C23" s="233"/>
      <c r="D23" s="234"/>
      <c r="E23" s="124" t="s">
        <v>28</v>
      </c>
      <c r="F23" s="128"/>
      <c r="G23" s="14">
        <v>390.39</v>
      </c>
      <c r="H23" s="12">
        <f t="shared" si="1"/>
        <v>0</v>
      </c>
      <c r="I23" s="128"/>
      <c r="J23" s="13">
        <v>358.81</v>
      </c>
      <c r="K23" s="13">
        <f t="shared" si="2"/>
        <v>0</v>
      </c>
      <c r="L23" s="129"/>
      <c r="M23" s="13">
        <v>538.22</v>
      </c>
      <c r="N23" s="13">
        <f t="shared" si="3"/>
        <v>0</v>
      </c>
      <c r="O23" s="107"/>
      <c r="P23" s="107"/>
      <c r="Q23" s="107"/>
      <c r="R23" s="107"/>
      <c r="S23" s="107"/>
      <c r="T23" s="107"/>
      <c r="U23" s="107"/>
      <c r="V23" s="15">
        <f t="shared" si="4"/>
        <v>0</v>
      </c>
      <c r="W23" s="107"/>
      <c r="X23" s="107"/>
      <c r="Y23" s="7" t="s">
        <v>161</v>
      </c>
      <c r="Z23" s="101"/>
      <c r="AA23" s="7"/>
      <c r="AB23" s="7"/>
      <c r="AC23" s="7"/>
      <c r="AD23" s="7"/>
      <c r="AE23" s="7"/>
      <c r="AF23" s="7"/>
      <c r="AG23" s="7"/>
      <c r="AH23" s="7"/>
      <c r="AI23" s="7"/>
      <c r="AJ23" s="7"/>
      <c r="AK23" s="7"/>
      <c r="AL23" s="7"/>
      <c r="AM23" s="7"/>
      <c r="AN23" s="7"/>
      <c r="AO23" s="7"/>
      <c r="AP23" s="7"/>
      <c r="AQ23" s="7"/>
      <c r="AR23" s="7"/>
      <c r="AS23" s="7"/>
      <c r="AT23" s="7"/>
      <c r="AU23" s="7"/>
      <c r="AV23" s="7"/>
      <c r="AW23" s="7"/>
      <c r="AX23" s="7"/>
      <c r="AY23" s="7"/>
      <c r="AZ23" s="7"/>
      <c r="BA23" s="7"/>
      <c r="BB23" s="7"/>
      <c r="BC23" s="7"/>
      <c r="BD23" s="7"/>
      <c r="BE23" s="7"/>
      <c r="BF23" s="7"/>
      <c r="BG23" s="7"/>
      <c r="BH23" s="7"/>
      <c r="BI23" s="7"/>
      <c r="BJ23" s="7"/>
      <c r="BK23" s="7"/>
      <c r="BL23" s="7"/>
      <c r="BM23" s="7"/>
      <c r="BN23" s="7"/>
      <c r="BO23" s="7"/>
      <c r="BP23" s="7"/>
      <c r="BQ23" s="7"/>
      <c r="BR23" s="7"/>
      <c r="BS23" s="7"/>
      <c r="BT23" s="7"/>
    </row>
    <row r="24" spans="1:72" s="106" customFormat="1" ht="15.75" x14ac:dyDescent="0.25">
      <c r="A24" s="232" t="s">
        <v>32</v>
      </c>
      <c r="B24" s="233"/>
      <c r="C24" s="233"/>
      <c r="D24" s="234"/>
      <c r="E24" s="124" t="s">
        <v>28</v>
      </c>
      <c r="F24" s="128"/>
      <c r="G24" s="14">
        <v>317.98</v>
      </c>
      <c r="H24" s="12">
        <f t="shared" si="1"/>
        <v>0</v>
      </c>
      <c r="I24" s="128"/>
      <c r="J24" s="13">
        <v>326.25</v>
      </c>
      <c r="K24" s="13">
        <f t="shared" si="2"/>
        <v>0</v>
      </c>
      <c r="L24" s="129"/>
      <c r="M24" s="13">
        <v>489.37</v>
      </c>
      <c r="N24" s="13">
        <f t="shared" si="3"/>
        <v>0</v>
      </c>
      <c r="O24" s="107"/>
      <c r="P24" s="107"/>
      <c r="Q24" s="107"/>
      <c r="R24" s="107"/>
      <c r="S24" s="107"/>
      <c r="T24" s="107"/>
      <c r="U24" s="107"/>
      <c r="V24" s="15">
        <f t="shared" si="4"/>
        <v>0</v>
      </c>
      <c r="W24" s="107"/>
      <c r="X24" s="107"/>
      <c r="Y24" s="104" t="s">
        <v>162</v>
      </c>
      <c r="Z24" s="105"/>
      <c r="AA24" s="104"/>
      <c r="AB24" s="104"/>
      <c r="AC24" s="104"/>
      <c r="AD24" s="104"/>
      <c r="AE24" s="104"/>
      <c r="AF24" s="104"/>
      <c r="AG24" s="104"/>
      <c r="AH24" s="104"/>
      <c r="AI24" s="104"/>
      <c r="AJ24" s="104"/>
      <c r="AK24" s="104"/>
      <c r="AL24" s="104"/>
      <c r="AM24" s="104"/>
      <c r="AN24" s="104"/>
      <c r="AO24" s="104"/>
      <c r="AP24" s="104"/>
      <c r="AQ24" s="104"/>
      <c r="AR24" s="104"/>
      <c r="AS24" s="104"/>
      <c r="AT24" s="104"/>
      <c r="AU24" s="104"/>
      <c r="AV24" s="104"/>
      <c r="AW24" s="104"/>
      <c r="AX24" s="104"/>
      <c r="AY24" s="104"/>
      <c r="AZ24" s="104"/>
      <c r="BA24" s="104"/>
      <c r="BB24" s="104"/>
      <c r="BC24" s="104"/>
      <c r="BD24" s="104"/>
      <c r="BE24" s="104"/>
      <c r="BF24" s="104"/>
      <c r="BG24" s="104"/>
      <c r="BH24" s="104"/>
      <c r="BI24" s="104"/>
      <c r="BJ24" s="104"/>
      <c r="BK24" s="104"/>
      <c r="BL24" s="104"/>
      <c r="BM24" s="104"/>
      <c r="BN24" s="104"/>
      <c r="BO24" s="104"/>
      <c r="BP24" s="104"/>
      <c r="BQ24" s="104"/>
      <c r="BR24" s="104"/>
      <c r="BS24" s="104"/>
      <c r="BT24" s="104"/>
    </row>
    <row r="25" spans="1:72" ht="15.75" x14ac:dyDescent="0.25">
      <c r="A25" s="232" t="s">
        <v>33</v>
      </c>
      <c r="B25" s="233"/>
      <c r="C25" s="233"/>
      <c r="D25" s="234"/>
      <c r="E25" s="124" t="s">
        <v>28</v>
      </c>
      <c r="F25" s="128"/>
      <c r="G25" s="14">
        <v>310.62</v>
      </c>
      <c r="H25" s="12">
        <f t="shared" si="1"/>
        <v>0</v>
      </c>
      <c r="I25" s="128"/>
      <c r="J25" s="13">
        <v>335</v>
      </c>
      <c r="K25" s="13">
        <f t="shared" si="2"/>
        <v>0</v>
      </c>
      <c r="L25" s="129"/>
      <c r="M25" s="13">
        <v>436.87</v>
      </c>
      <c r="N25" s="13">
        <f t="shared" si="3"/>
        <v>0</v>
      </c>
      <c r="O25" s="107"/>
      <c r="P25" s="107"/>
      <c r="Q25" s="107"/>
      <c r="R25" s="107"/>
      <c r="S25" s="107"/>
      <c r="T25" s="107"/>
      <c r="U25" s="107"/>
      <c r="V25" s="15">
        <f t="shared" si="4"/>
        <v>0</v>
      </c>
      <c r="W25" s="107"/>
      <c r="X25" s="107"/>
      <c r="Y25" s="16"/>
      <c r="Z25" s="17"/>
      <c r="AA25" s="16"/>
      <c r="AB25" s="16"/>
      <c r="AC25" s="16"/>
      <c r="AD25" s="16"/>
      <c r="AE25" s="16"/>
      <c r="AF25" s="16"/>
      <c r="AG25" s="16"/>
      <c r="AH25" s="16"/>
      <c r="AI25" s="16"/>
      <c r="AJ25" s="16"/>
      <c r="AK25" s="16"/>
      <c r="AL25" s="16"/>
      <c r="AM25" s="16"/>
      <c r="AN25" s="16"/>
      <c r="AO25" s="16"/>
      <c r="AP25" s="16"/>
      <c r="AQ25" s="16"/>
      <c r="AR25" s="16"/>
      <c r="AS25" s="16"/>
      <c r="AT25" s="16"/>
      <c r="AU25" s="16"/>
      <c r="AV25" s="16"/>
      <c r="AW25" s="16"/>
      <c r="AX25" s="16"/>
      <c r="AY25" s="16"/>
      <c r="AZ25" s="16"/>
      <c r="BA25" s="16"/>
      <c r="BB25" s="16"/>
      <c r="BC25" s="16"/>
      <c r="BD25" s="16"/>
      <c r="BE25" s="16"/>
      <c r="BF25" s="16"/>
      <c r="BG25" s="16"/>
      <c r="BH25" s="16"/>
      <c r="BI25" s="16"/>
      <c r="BJ25" s="16"/>
      <c r="BK25" s="16"/>
      <c r="BL25" s="16"/>
      <c r="BM25" s="16"/>
      <c r="BN25" s="16"/>
      <c r="BO25" s="16"/>
      <c r="BP25" s="16"/>
      <c r="BQ25" s="16"/>
      <c r="BR25" s="16"/>
      <c r="BS25" s="16"/>
      <c r="BT25" s="16"/>
    </row>
    <row r="26" spans="1:72" s="100" customFormat="1" ht="15.75" x14ac:dyDescent="0.25">
      <c r="A26" s="232" t="s">
        <v>34</v>
      </c>
      <c r="B26" s="233"/>
      <c r="C26" s="233"/>
      <c r="D26" s="234"/>
      <c r="E26" s="124" t="s">
        <v>28</v>
      </c>
      <c r="F26" s="128"/>
      <c r="G26" s="14">
        <v>288.88</v>
      </c>
      <c r="H26" s="12">
        <f t="shared" si="1"/>
        <v>0</v>
      </c>
      <c r="I26" s="128"/>
      <c r="J26" s="13">
        <v>291.73</v>
      </c>
      <c r="K26" s="13">
        <f t="shared" si="2"/>
        <v>0</v>
      </c>
      <c r="L26" s="129"/>
      <c r="M26" s="13">
        <v>437.63</v>
      </c>
      <c r="N26" s="13">
        <f t="shared" si="3"/>
        <v>0</v>
      </c>
      <c r="O26" s="107"/>
      <c r="P26" s="107"/>
      <c r="Q26" s="107"/>
      <c r="R26" s="107"/>
      <c r="S26" s="107"/>
      <c r="T26" s="107"/>
      <c r="U26" s="107"/>
      <c r="V26" s="15">
        <f t="shared" si="4"/>
        <v>0</v>
      </c>
      <c r="W26" s="107"/>
      <c r="X26" s="107"/>
      <c r="Y26" s="16" t="s">
        <v>164</v>
      </c>
      <c r="Z26" s="17"/>
      <c r="AA26" s="16"/>
      <c r="AB26" s="16"/>
      <c r="AC26" s="16"/>
      <c r="AD26" s="16"/>
      <c r="AE26" s="16"/>
      <c r="AF26" s="16"/>
      <c r="AG26" s="16"/>
      <c r="AH26" s="16"/>
      <c r="AI26" s="16"/>
      <c r="AJ26" s="16"/>
      <c r="AK26" s="16"/>
      <c r="AL26" s="16"/>
      <c r="AM26" s="16"/>
      <c r="AN26" s="16"/>
      <c r="AO26" s="16"/>
      <c r="AP26" s="16"/>
      <c r="AQ26" s="16"/>
      <c r="AR26" s="16"/>
      <c r="AS26" s="16"/>
      <c r="AT26" s="16"/>
      <c r="AU26" s="16"/>
      <c r="AV26" s="16"/>
      <c r="AW26" s="16"/>
      <c r="AX26" s="16"/>
      <c r="AY26" s="16"/>
      <c r="AZ26" s="16"/>
      <c r="BA26" s="16"/>
      <c r="BB26" s="16"/>
      <c r="BC26" s="16"/>
      <c r="BD26" s="16"/>
      <c r="BE26" s="16"/>
      <c r="BF26" s="16"/>
      <c r="BG26" s="16"/>
      <c r="BH26" s="16"/>
      <c r="BI26" s="16"/>
      <c r="BJ26" s="16"/>
      <c r="BK26" s="16"/>
      <c r="BL26" s="16"/>
      <c r="BM26" s="16"/>
      <c r="BN26" s="16"/>
      <c r="BO26" s="16"/>
      <c r="BP26" s="16"/>
      <c r="BQ26" s="16"/>
      <c r="BR26" s="16"/>
      <c r="BS26" s="16"/>
      <c r="BT26" s="16"/>
    </row>
    <row r="27" spans="1:72" s="106" customFormat="1" ht="15.75" x14ac:dyDescent="0.25">
      <c r="A27" s="235" t="s">
        <v>128</v>
      </c>
      <c r="B27" s="235"/>
      <c r="C27" s="235"/>
      <c r="D27" s="235"/>
      <c r="E27" s="124" t="s">
        <v>28</v>
      </c>
      <c r="F27" s="128"/>
      <c r="G27" s="14">
        <v>368.59</v>
      </c>
      <c r="H27" s="12">
        <f t="shared" si="1"/>
        <v>0</v>
      </c>
      <c r="I27" s="128"/>
      <c r="J27" s="13">
        <v>379.23</v>
      </c>
      <c r="K27" s="13">
        <f t="shared" si="2"/>
        <v>0</v>
      </c>
      <c r="L27" s="129"/>
      <c r="M27" s="13">
        <v>538.84</v>
      </c>
      <c r="N27" s="13">
        <f t="shared" si="3"/>
        <v>0</v>
      </c>
      <c r="O27" s="107"/>
      <c r="P27" s="107"/>
      <c r="Q27" s="107"/>
      <c r="R27" s="107"/>
      <c r="S27" s="107"/>
      <c r="T27" s="108"/>
      <c r="U27" s="107"/>
      <c r="V27" s="15">
        <f t="shared" si="4"/>
        <v>0</v>
      </c>
      <c r="W27" s="107"/>
      <c r="X27" s="107"/>
      <c r="Y27" s="104"/>
      <c r="Z27" s="105"/>
      <c r="AA27" s="104"/>
      <c r="AB27" s="104"/>
      <c r="AC27" s="104"/>
      <c r="AD27" s="104"/>
      <c r="AE27" s="104"/>
      <c r="AF27" s="104"/>
      <c r="AG27" s="104"/>
      <c r="AH27" s="104"/>
      <c r="AI27" s="104"/>
      <c r="AJ27" s="104"/>
      <c r="AK27" s="104"/>
      <c r="AL27" s="104"/>
      <c r="AM27" s="104"/>
      <c r="AN27" s="104"/>
      <c r="AO27" s="104"/>
      <c r="AP27" s="104"/>
      <c r="AQ27" s="104"/>
      <c r="AR27" s="104"/>
      <c r="AS27" s="104"/>
      <c r="AT27" s="104"/>
      <c r="AU27" s="104"/>
      <c r="AV27" s="104"/>
      <c r="AW27" s="104"/>
      <c r="AX27" s="104"/>
      <c r="AY27" s="104"/>
      <c r="AZ27" s="104"/>
      <c r="BA27" s="104"/>
      <c r="BB27" s="104"/>
      <c r="BC27" s="104"/>
      <c r="BD27" s="104"/>
      <c r="BE27" s="104"/>
      <c r="BF27" s="104"/>
      <c r="BG27" s="104"/>
      <c r="BH27" s="104"/>
      <c r="BI27" s="104"/>
      <c r="BJ27" s="104"/>
      <c r="BK27" s="104"/>
      <c r="BL27" s="104"/>
      <c r="BM27" s="104"/>
      <c r="BN27" s="104"/>
      <c r="BO27" s="104"/>
      <c r="BP27" s="104"/>
      <c r="BQ27" s="104"/>
      <c r="BR27" s="104"/>
      <c r="BS27" s="104"/>
      <c r="BT27" s="104"/>
    </row>
    <row r="28" spans="1:72" ht="15.75" x14ac:dyDescent="0.25">
      <c r="A28" s="232" t="s">
        <v>35</v>
      </c>
      <c r="B28" s="233"/>
      <c r="C28" s="233"/>
      <c r="D28" s="234"/>
      <c r="E28" s="124" t="s">
        <v>28</v>
      </c>
      <c r="F28" s="128"/>
      <c r="G28" s="14">
        <v>368.59</v>
      </c>
      <c r="H28" s="14">
        <f t="shared" si="1"/>
        <v>0</v>
      </c>
      <c r="I28" s="128"/>
      <c r="J28" s="13">
        <v>379.23</v>
      </c>
      <c r="K28" s="13">
        <f t="shared" si="2"/>
        <v>0</v>
      </c>
      <c r="L28" s="129"/>
      <c r="M28" s="13">
        <v>538.84</v>
      </c>
      <c r="N28" s="13">
        <f t="shared" si="3"/>
        <v>0</v>
      </c>
      <c r="O28" s="107"/>
      <c r="P28" s="107"/>
      <c r="Q28" s="107"/>
      <c r="R28" s="107"/>
      <c r="S28" s="107"/>
      <c r="T28" s="108"/>
      <c r="U28" s="107"/>
      <c r="V28" s="15">
        <f t="shared" si="4"/>
        <v>0</v>
      </c>
      <c r="W28" s="107"/>
      <c r="X28" s="107"/>
      <c r="Y28" s="16"/>
      <c r="Z28" s="17"/>
      <c r="AA28" s="16"/>
      <c r="AB28" s="16"/>
      <c r="AC28" s="16"/>
      <c r="AD28" s="16"/>
      <c r="AE28" s="16"/>
      <c r="AF28" s="16"/>
      <c r="AG28" s="16"/>
      <c r="AH28" s="16"/>
      <c r="AI28" s="16"/>
      <c r="AJ28" s="16"/>
      <c r="AK28" s="16"/>
      <c r="AL28" s="16"/>
      <c r="AM28" s="16"/>
      <c r="AN28" s="16"/>
      <c r="AO28" s="16"/>
      <c r="AP28" s="16"/>
      <c r="AQ28" s="16"/>
      <c r="AR28" s="16"/>
      <c r="AS28" s="16"/>
      <c r="AT28" s="16"/>
      <c r="AU28" s="16"/>
      <c r="AV28" s="16"/>
      <c r="AW28" s="16"/>
      <c r="AX28" s="16"/>
      <c r="AY28" s="16"/>
      <c r="AZ28" s="16"/>
      <c r="BA28" s="16"/>
      <c r="BB28" s="16"/>
      <c r="BC28" s="16"/>
      <c r="BD28" s="16"/>
      <c r="BE28" s="16"/>
      <c r="BF28" s="16"/>
      <c r="BG28" s="16"/>
      <c r="BH28" s="16"/>
      <c r="BI28" s="16"/>
      <c r="BJ28" s="16"/>
      <c r="BK28" s="16"/>
      <c r="BL28" s="16"/>
      <c r="BM28" s="16"/>
      <c r="BN28" s="16"/>
      <c r="BO28" s="16"/>
      <c r="BP28" s="16"/>
      <c r="BQ28" s="16"/>
      <c r="BR28" s="16"/>
      <c r="BS28" s="16"/>
      <c r="BT28" s="16"/>
    </row>
    <row r="29" spans="1:72" s="106" customFormat="1" ht="15.75" x14ac:dyDescent="0.25">
      <c r="A29" s="235" t="s">
        <v>129</v>
      </c>
      <c r="B29" s="235"/>
      <c r="C29" s="235"/>
      <c r="D29" s="235"/>
      <c r="E29" s="124" t="s">
        <v>28</v>
      </c>
      <c r="F29" s="128">
        <v>7</v>
      </c>
      <c r="G29" s="14">
        <v>143</v>
      </c>
      <c r="H29" s="14">
        <f t="shared" si="1"/>
        <v>1001</v>
      </c>
      <c r="I29" s="128">
        <v>1</v>
      </c>
      <c r="J29" s="13">
        <v>205.04</v>
      </c>
      <c r="K29" s="13">
        <f t="shared" si="2"/>
        <v>205.04</v>
      </c>
      <c r="L29" s="129"/>
      <c r="M29" s="13">
        <v>277.56</v>
      </c>
      <c r="N29" s="13">
        <f t="shared" si="3"/>
        <v>0</v>
      </c>
      <c r="O29" s="107"/>
      <c r="P29" s="107"/>
      <c r="Q29" s="107"/>
      <c r="R29" s="107"/>
      <c r="S29" s="107"/>
      <c r="T29" s="108"/>
      <c r="U29" s="107"/>
      <c r="V29" s="15">
        <f t="shared" si="4"/>
        <v>0</v>
      </c>
      <c r="W29" s="107"/>
      <c r="X29" s="107"/>
      <c r="Y29" s="104"/>
      <c r="Z29" s="105"/>
      <c r="AA29" s="104"/>
      <c r="AB29" s="104"/>
      <c r="AC29" s="104"/>
      <c r="AD29" s="104"/>
      <c r="AE29" s="104"/>
      <c r="AF29" s="104"/>
      <c r="AG29" s="104"/>
      <c r="AH29" s="104"/>
      <c r="AI29" s="104"/>
      <c r="AJ29" s="104"/>
      <c r="AK29" s="104"/>
      <c r="AL29" s="104"/>
      <c r="AM29" s="104"/>
      <c r="AN29" s="104"/>
      <c r="AO29" s="104"/>
      <c r="AP29" s="104"/>
      <c r="AQ29" s="104"/>
      <c r="AR29" s="104"/>
      <c r="AS29" s="104"/>
      <c r="AT29" s="104"/>
      <c r="AU29" s="104"/>
      <c r="AV29" s="104"/>
      <c r="AW29" s="104"/>
      <c r="AX29" s="104"/>
      <c r="AY29" s="104"/>
      <c r="AZ29" s="104"/>
      <c r="BA29" s="104"/>
      <c r="BB29" s="104"/>
      <c r="BC29" s="104"/>
      <c r="BD29" s="104"/>
      <c r="BE29" s="104"/>
      <c r="BF29" s="104"/>
      <c r="BG29" s="104"/>
      <c r="BH29" s="104"/>
      <c r="BI29" s="104"/>
      <c r="BJ29" s="104"/>
      <c r="BK29" s="104"/>
      <c r="BL29" s="104"/>
      <c r="BM29" s="104"/>
      <c r="BN29" s="104"/>
      <c r="BO29" s="104"/>
      <c r="BP29" s="104"/>
      <c r="BQ29" s="104"/>
      <c r="BR29" s="104"/>
      <c r="BS29" s="104"/>
      <c r="BT29" s="104"/>
    </row>
    <row r="30" spans="1:72" s="100" customFormat="1" ht="15.75" x14ac:dyDescent="0.25">
      <c r="A30" s="235" t="s">
        <v>36</v>
      </c>
      <c r="B30" s="235"/>
      <c r="C30" s="235"/>
      <c r="D30" s="235"/>
      <c r="E30" s="124" t="s">
        <v>28</v>
      </c>
      <c r="F30" s="128"/>
      <c r="G30" s="14">
        <v>209.99</v>
      </c>
      <c r="H30" s="14">
        <f t="shared" si="1"/>
        <v>0</v>
      </c>
      <c r="I30" s="128"/>
      <c r="J30" s="13">
        <v>239.4</v>
      </c>
      <c r="K30" s="13">
        <f t="shared" si="2"/>
        <v>0</v>
      </c>
      <c r="L30" s="129"/>
      <c r="M30" s="13">
        <v>297.41000000000003</v>
      </c>
      <c r="N30" s="13">
        <f t="shared" si="3"/>
        <v>0</v>
      </c>
      <c r="O30" s="107"/>
      <c r="P30" s="107"/>
      <c r="Q30" s="107"/>
      <c r="R30" s="107"/>
      <c r="S30" s="107"/>
      <c r="T30" s="108"/>
      <c r="U30" s="107"/>
      <c r="V30" s="15">
        <f t="shared" si="4"/>
        <v>0</v>
      </c>
      <c r="W30" s="107"/>
      <c r="X30" s="107"/>
      <c r="Y30" s="16"/>
      <c r="Z30" s="17"/>
      <c r="AA30" s="16"/>
      <c r="AB30" s="16"/>
      <c r="AC30" s="16"/>
      <c r="AD30" s="16"/>
      <c r="AE30" s="16"/>
      <c r="AF30" s="16"/>
      <c r="AG30" s="16"/>
      <c r="AH30" s="16"/>
      <c r="AI30" s="16"/>
      <c r="AJ30" s="16"/>
      <c r="AK30" s="16"/>
      <c r="AL30" s="16"/>
      <c r="AM30" s="16"/>
      <c r="AN30" s="16"/>
      <c r="AO30" s="16"/>
      <c r="AP30" s="16"/>
      <c r="AQ30" s="16"/>
      <c r="AR30" s="16"/>
      <c r="AS30" s="16"/>
      <c r="AT30" s="16"/>
      <c r="AU30" s="16"/>
      <c r="AV30" s="16"/>
      <c r="AW30" s="16"/>
      <c r="AX30" s="16"/>
      <c r="AY30" s="16"/>
      <c r="AZ30" s="16"/>
      <c r="BA30" s="16"/>
      <c r="BB30" s="16"/>
      <c r="BC30" s="16"/>
      <c r="BD30" s="16"/>
      <c r="BE30" s="16"/>
      <c r="BF30" s="16"/>
      <c r="BG30" s="16"/>
      <c r="BH30" s="16"/>
      <c r="BI30" s="16"/>
      <c r="BJ30" s="16"/>
      <c r="BK30" s="16"/>
      <c r="BL30" s="16"/>
      <c r="BM30" s="16"/>
      <c r="BN30" s="16"/>
      <c r="BO30" s="16"/>
      <c r="BP30" s="16"/>
      <c r="BQ30" s="16"/>
      <c r="BR30" s="16"/>
      <c r="BS30" s="16"/>
      <c r="BT30" s="16"/>
    </row>
    <row r="31" spans="1:72" s="100" customFormat="1" ht="15.75" x14ac:dyDescent="0.25">
      <c r="A31" s="235" t="s">
        <v>37</v>
      </c>
      <c r="B31" s="235"/>
      <c r="C31" s="235"/>
      <c r="D31" s="235"/>
      <c r="E31" s="124" t="s">
        <v>28</v>
      </c>
      <c r="F31" s="128"/>
      <c r="G31" s="14">
        <v>189.48</v>
      </c>
      <c r="H31" s="12">
        <f t="shared" si="1"/>
        <v>0</v>
      </c>
      <c r="I31" s="128"/>
      <c r="J31" s="13">
        <v>210</v>
      </c>
      <c r="K31" s="13">
        <f>I31*J31</f>
        <v>0</v>
      </c>
      <c r="L31" s="129"/>
      <c r="M31" s="13">
        <v>0</v>
      </c>
      <c r="N31" s="13">
        <f t="shared" si="3"/>
        <v>0</v>
      </c>
      <c r="O31" s="107"/>
      <c r="P31" s="107"/>
      <c r="Q31" s="107"/>
      <c r="R31" s="107"/>
      <c r="S31" s="107"/>
      <c r="T31" s="108"/>
      <c r="U31" s="107"/>
      <c r="V31" s="15">
        <f t="shared" si="4"/>
        <v>0</v>
      </c>
      <c r="W31" s="107"/>
      <c r="X31" s="107"/>
      <c r="Y31" s="16" t="s">
        <v>166</v>
      </c>
      <c r="Z31" s="17"/>
      <c r="AA31" s="16"/>
      <c r="AB31" s="16"/>
      <c r="AC31" s="16"/>
      <c r="AD31" s="16"/>
      <c r="AE31" s="16"/>
      <c r="AF31" s="16"/>
      <c r="AG31" s="16"/>
      <c r="AH31" s="16"/>
      <c r="AI31" s="16"/>
      <c r="AJ31" s="16"/>
      <c r="AK31" s="16"/>
      <c r="AL31" s="16"/>
      <c r="AM31" s="16"/>
      <c r="AN31" s="16"/>
      <c r="AO31" s="16"/>
      <c r="AP31" s="16"/>
      <c r="AQ31" s="16"/>
      <c r="AR31" s="16"/>
      <c r="AS31" s="16"/>
      <c r="AT31" s="16"/>
      <c r="AU31" s="16"/>
      <c r="AV31" s="16"/>
      <c r="AW31" s="16"/>
      <c r="AX31" s="16"/>
      <c r="AY31" s="16"/>
      <c r="AZ31" s="16"/>
      <c r="BA31" s="16"/>
      <c r="BB31" s="16"/>
      <c r="BC31" s="16"/>
      <c r="BD31" s="16"/>
      <c r="BE31" s="16"/>
      <c r="BF31" s="16"/>
      <c r="BG31" s="16"/>
      <c r="BH31" s="16"/>
      <c r="BI31" s="16"/>
      <c r="BJ31" s="16"/>
      <c r="BK31" s="16"/>
      <c r="BL31" s="16"/>
      <c r="BM31" s="16"/>
      <c r="BN31" s="16"/>
      <c r="BO31" s="16"/>
      <c r="BP31" s="16"/>
      <c r="BQ31" s="16"/>
      <c r="BR31" s="16"/>
      <c r="BS31" s="16"/>
      <c r="BT31" s="16"/>
    </row>
    <row r="32" spans="1:72" ht="15.75" x14ac:dyDescent="0.25">
      <c r="A32" s="235" t="s">
        <v>38</v>
      </c>
      <c r="B32" s="235"/>
      <c r="C32" s="235"/>
      <c r="D32" s="235"/>
      <c r="E32" s="124" t="s">
        <v>28</v>
      </c>
      <c r="F32" s="128">
        <v>7</v>
      </c>
      <c r="G32" s="14">
        <v>119</v>
      </c>
      <c r="H32" s="12">
        <f t="shared" si="1"/>
        <v>833</v>
      </c>
      <c r="I32" s="128">
        <v>1</v>
      </c>
      <c r="J32" s="13">
        <v>210</v>
      </c>
      <c r="K32" s="13">
        <f>I32*J32</f>
        <v>210</v>
      </c>
      <c r="L32" s="129"/>
      <c r="M32" s="13">
        <v>240.95</v>
      </c>
      <c r="N32" s="13">
        <f t="shared" si="3"/>
        <v>0</v>
      </c>
      <c r="O32" s="107"/>
      <c r="P32" s="107"/>
      <c r="Q32" s="107"/>
      <c r="R32" s="107"/>
      <c r="S32" s="107"/>
      <c r="T32" s="108"/>
      <c r="U32" s="107"/>
      <c r="V32" s="15">
        <f t="shared" si="4"/>
        <v>0</v>
      </c>
      <c r="W32" s="107"/>
      <c r="X32" s="107"/>
      <c r="Y32" s="16" t="s">
        <v>165</v>
      </c>
      <c r="Z32" s="17"/>
      <c r="AA32" s="16"/>
      <c r="AB32" s="16"/>
      <c r="AC32" s="16"/>
      <c r="AD32" s="16"/>
      <c r="AE32" s="16"/>
      <c r="AF32" s="16"/>
      <c r="AG32" s="16"/>
      <c r="AH32" s="16"/>
      <c r="AI32" s="16"/>
      <c r="AJ32" s="16"/>
      <c r="AK32" s="16"/>
      <c r="AL32" s="16"/>
      <c r="AM32" s="16"/>
      <c r="AN32" s="16"/>
      <c r="AO32" s="16"/>
      <c r="AP32" s="16"/>
      <c r="AQ32" s="16"/>
      <c r="AR32" s="16"/>
      <c r="AS32" s="16"/>
      <c r="AT32" s="16"/>
      <c r="AU32" s="16"/>
      <c r="AV32" s="16"/>
      <c r="AW32" s="16"/>
      <c r="AX32" s="16"/>
      <c r="AY32" s="16"/>
      <c r="AZ32" s="16"/>
      <c r="BA32" s="16"/>
      <c r="BB32" s="16"/>
      <c r="BC32" s="16"/>
      <c r="BD32" s="16"/>
      <c r="BE32" s="16"/>
      <c r="BF32" s="16"/>
      <c r="BG32" s="16"/>
      <c r="BH32" s="16"/>
      <c r="BI32" s="16"/>
      <c r="BJ32" s="16"/>
      <c r="BK32" s="16"/>
      <c r="BL32" s="16"/>
      <c r="BM32" s="16"/>
      <c r="BN32" s="16"/>
      <c r="BO32" s="16"/>
      <c r="BP32" s="16"/>
      <c r="BQ32" s="16"/>
      <c r="BR32" s="16"/>
      <c r="BS32" s="16"/>
      <c r="BT32" s="16"/>
    </row>
    <row r="33" spans="1:72" ht="15.75" x14ac:dyDescent="0.25">
      <c r="A33" s="235" t="s">
        <v>39</v>
      </c>
      <c r="B33" s="235"/>
      <c r="C33" s="235"/>
      <c r="D33" s="235"/>
      <c r="E33" s="124" t="s">
        <v>28</v>
      </c>
      <c r="F33" s="128"/>
      <c r="G33" s="14">
        <v>189.48</v>
      </c>
      <c r="H33" s="14">
        <f t="shared" si="1"/>
        <v>0</v>
      </c>
      <c r="I33" s="128"/>
      <c r="J33" s="13">
        <v>203.96</v>
      </c>
      <c r="K33" s="13">
        <f t="shared" si="2"/>
        <v>0</v>
      </c>
      <c r="L33" s="129"/>
      <c r="M33" s="13">
        <v>260.95</v>
      </c>
      <c r="N33" s="13">
        <f t="shared" si="3"/>
        <v>0</v>
      </c>
      <c r="O33" s="107"/>
      <c r="P33" s="107"/>
      <c r="Q33" s="107"/>
      <c r="R33" s="107"/>
      <c r="S33" s="107"/>
      <c r="T33" s="108"/>
      <c r="U33" s="107"/>
      <c r="V33" s="15">
        <f t="shared" si="4"/>
        <v>0</v>
      </c>
      <c r="W33" s="107"/>
      <c r="X33" s="107"/>
      <c r="Y33" s="16"/>
      <c r="Z33" s="17"/>
      <c r="AA33" s="16"/>
      <c r="AB33" s="16"/>
      <c r="AC33" s="16"/>
      <c r="AD33" s="16"/>
      <c r="AE33" s="16"/>
      <c r="AF33" s="16"/>
      <c r="AG33" s="16"/>
      <c r="AH33" s="16"/>
      <c r="AI33" s="16"/>
      <c r="AJ33" s="16"/>
      <c r="AK33" s="16"/>
      <c r="AL33" s="16"/>
      <c r="AM33" s="16"/>
      <c r="AN33" s="16"/>
      <c r="AO33" s="16"/>
      <c r="AP33" s="16"/>
      <c r="AQ33" s="16"/>
      <c r="AR33" s="16"/>
      <c r="AS33" s="16"/>
      <c r="AT33" s="16"/>
      <c r="AU33" s="16"/>
      <c r="AV33" s="16"/>
      <c r="AW33" s="16"/>
      <c r="AX33" s="16"/>
      <c r="AY33" s="16"/>
      <c r="AZ33" s="16"/>
      <c r="BA33" s="16"/>
      <c r="BB33" s="16"/>
      <c r="BC33" s="16"/>
      <c r="BD33" s="16"/>
      <c r="BE33" s="16"/>
      <c r="BF33" s="16"/>
      <c r="BG33" s="16"/>
      <c r="BH33" s="16"/>
      <c r="BI33" s="16"/>
      <c r="BJ33" s="16"/>
      <c r="BK33" s="16"/>
      <c r="BL33" s="16"/>
      <c r="BM33" s="16"/>
      <c r="BN33" s="16"/>
      <c r="BO33" s="16"/>
      <c r="BP33" s="16"/>
      <c r="BQ33" s="16"/>
      <c r="BR33" s="16"/>
      <c r="BS33" s="16"/>
      <c r="BT33" s="16"/>
    </row>
    <row r="34" spans="1:72" s="100" customFormat="1" ht="15.75" x14ac:dyDescent="0.25">
      <c r="A34" s="232" t="s">
        <v>40</v>
      </c>
      <c r="B34" s="233"/>
      <c r="C34" s="233"/>
      <c r="D34" s="234"/>
      <c r="E34" s="124" t="s">
        <v>28</v>
      </c>
      <c r="F34" s="128"/>
      <c r="G34" s="14"/>
      <c r="H34" s="14">
        <f t="shared" si="1"/>
        <v>0</v>
      </c>
      <c r="I34" s="128"/>
      <c r="J34" s="13">
        <v>0</v>
      </c>
      <c r="K34" s="13">
        <f t="shared" si="2"/>
        <v>0</v>
      </c>
      <c r="L34" s="129"/>
      <c r="M34" s="13"/>
      <c r="N34" s="13">
        <f t="shared" si="3"/>
        <v>0</v>
      </c>
      <c r="O34" s="107"/>
      <c r="P34" s="107"/>
      <c r="Q34" s="107"/>
      <c r="R34" s="107"/>
      <c r="S34" s="107"/>
      <c r="T34" s="108"/>
      <c r="U34" s="107"/>
      <c r="V34" s="15">
        <f t="shared" si="4"/>
        <v>0</v>
      </c>
      <c r="W34" s="107"/>
      <c r="X34" s="107"/>
      <c r="Y34" s="3"/>
      <c r="Z34" s="17"/>
      <c r="AA34" s="16"/>
      <c r="AB34" s="16"/>
      <c r="AC34" s="16"/>
      <c r="AD34" s="16"/>
      <c r="AE34" s="16"/>
      <c r="AF34" s="16"/>
      <c r="AG34" s="16"/>
      <c r="AH34" s="16"/>
      <c r="AI34" s="16"/>
      <c r="AJ34" s="16"/>
      <c r="AK34" s="16"/>
      <c r="AL34" s="16"/>
      <c r="AM34" s="16"/>
      <c r="AN34" s="16"/>
      <c r="AO34" s="16"/>
      <c r="AP34" s="16"/>
      <c r="AQ34" s="16"/>
      <c r="AR34" s="16"/>
      <c r="AS34" s="16"/>
      <c r="AT34" s="16"/>
      <c r="AU34" s="16"/>
      <c r="AV34" s="16"/>
      <c r="AW34" s="16"/>
      <c r="AX34" s="16"/>
      <c r="AY34" s="16"/>
      <c r="AZ34" s="16"/>
      <c r="BA34" s="16"/>
      <c r="BB34" s="16"/>
      <c r="BC34" s="16"/>
      <c r="BD34" s="16"/>
      <c r="BE34" s="16"/>
      <c r="BF34" s="16"/>
      <c r="BG34" s="16"/>
      <c r="BH34" s="16"/>
      <c r="BI34" s="16"/>
      <c r="BJ34" s="16"/>
      <c r="BK34" s="16"/>
      <c r="BL34" s="16"/>
      <c r="BM34" s="16"/>
      <c r="BN34" s="16"/>
      <c r="BO34" s="16"/>
      <c r="BP34" s="16"/>
      <c r="BQ34" s="16"/>
      <c r="BR34" s="16"/>
      <c r="BS34" s="16"/>
      <c r="BT34" s="16"/>
    </row>
    <row r="35" spans="1:72" s="100" customFormat="1" ht="15.75" x14ac:dyDescent="0.25">
      <c r="A35" s="232" t="s">
        <v>41</v>
      </c>
      <c r="B35" s="233"/>
      <c r="C35" s="233"/>
      <c r="D35" s="234"/>
      <c r="E35" s="124" t="s">
        <v>28</v>
      </c>
      <c r="F35" s="128"/>
      <c r="G35" s="14">
        <v>166.17</v>
      </c>
      <c r="H35" s="14">
        <f t="shared" si="1"/>
        <v>0</v>
      </c>
      <c r="I35" s="128"/>
      <c r="J35" s="13">
        <v>186.17</v>
      </c>
      <c r="K35" s="13">
        <f t="shared" si="2"/>
        <v>0</v>
      </c>
      <c r="L35" s="129"/>
      <c r="M35" s="13">
        <v>198.17</v>
      </c>
      <c r="N35" s="13">
        <f t="shared" si="3"/>
        <v>0</v>
      </c>
      <c r="O35" s="107"/>
      <c r="P35" s="107"/>
      <c r="Q35" s="107"/>
      <c r="R35" s="107"/>
      <c r="S35" s="107"/>
      <c r="T35" s="107"/>
      <c r="U35" s="107"/>
      <c r="V35" s="15">
        <f t="shared" si="4"/>
        <v>0</v>
      </c>
      <c r="W35" s="107"/>
      <c r="X35" s="107"/>
      <c r="Y35" s="16" t="s">
        <v>167</v>
      </c>
      <c r="Z35" s="17"/>
      <c r="AA35" s="16"/>
      <c r="AB35" s="16"/>
      <c r="AC35" s="16"/>
      <c r="AD35" s="16"/>
      <c r="AE35" s="16"/>
      <c r="AF35" s="16"/>
      <c r="AG35" s="16"/>
      <c r="AH35" s="16"/>
      <c r="AI35" s="16"/>
      <c r="AJ35" s="16"/>
      <c r="AK35" s="16"/>
      <c r="AL35" s="16"/>
      <c r="AM35" s="16"/>
      <c r="AN35" s="16"/>
      <c r="AO35" s="16"/>
      <c r="AP35" s="16"/>
      <c r="AQ35" s="16"/>
      <c r="AR35" s="16"/>
      <c r="AS35" s="16"/>
      <c r="AT35" s="16"/>
      <c r="AU35" s="16"/>
      <c r="AV35" s="16"/>
      <c r="AW35" s="16"/>
      <c r="AX35" s="16"/>
      <c r="AY35" s="16"/>
      <c r="AZ35" s="16"/>
      <c r="BA35" s="16"/>
      <c r="BB35" s="16"/>
      <c r="BC35" s="16"/>
      <c r="BD35" s="16"/>
      <c r="BE35" s="16"/>
      <c r="BF35" s="16"/>
      <c r="BG35" s="16"/>
      <c r="BH35" s="16"/>
      <c r="BI35" s="16"/>
      <c r="BJ35" s="16"/>
      <c r="BK35" s="16"/>
      <c r="BL35" s="16"/>
      <c r="BM35" s="16"/>
      <c r="BN35" s="16"/>
      <c r="BO35" s="16"/>
      <c r="BP35" s="16"/>
      <c r="BQ35" s="16"/>
      <c r="BR35" s="16"/>
      <c r="BS35" s="16"/>
      <c r="BT35" s="16"/>
    </row>
    <row r="36" spans="1:72" ht="15.75" x14ac:dyDescent="0.25">
      <c r="A36" s="232" t="s">
        <v>42</v>
      </c>
      <c r="B36" s="233"/>
      <c r="C36" s="233"/>
      <c r="D36" s="234"/>
      <c r="E36" s="124" t="s">
        <v>28</v>
      </c>
      <c r="F36" s="128"/>
      <c r="G36" s="14">
        <v>0</v>
      </c>
      <c r="H36" s="14">
        <f>F36*G36</f>
        <v>0</v>
      </c>
      <c r="I36" s="128"/>
      <c r="J36" s="13">
        <v>0</v>
      </c>
      <c r="K36" s="13">
        <f t="shared" si="2"/>
        <v>0</v>
      </c>
      <c r="L36" s="129"/>
      <c r="M36" s="13">
        <v>0</v>
      </c>
      <c r="N36" s="13">
        <f t="shared" si="3"/>
        <v>0</v>
      </c>
      <c r="O36" s="109"/>
      <c r="P36" s="109"/>
      <c r="Q36" s="109"/>
      <c r="R36" s="109"/>
      <c r="S36" s="109"/>
      <c r="T36" s="109"/>
      <c r="U36" s="107"/>
      <c r="V36" s="15">
        <f t="shared" si="4"/>
        <v>0</v>
      </c>
      <c r="W36" s="107"/>
      <c r="X36" s="107"/>
      <c r="Y36" s="16"/>
      <c r="Z36" s="17"/>
      <c r="AA36" s="16"/>
      <c r="AB36" s="16"/>
      <c r="AC36" s="16"/>
      <c r="AD36" s="16"/>
      <c r="AE36" s="16"/>
      <c r="AF36" s="16"/>
      <c r="AG36" s="16"/>
      <c r="AH36" s="16"/>
      <c r="AI36" s="16"/>
      <c r="AJ36" s="16"/>
      <c r="AK36" s="16"/>
      <c r="AL36" s="16"/>
      <c r="AM36" s="16"/>
      <c r="AN36" s="16"/>
      <c r="AO36" s="16"/>
      <c r="AP36" s="16"/>
      <c r="AQ36" s="16"/>
      <c r="AR36" s="16"/>
      <c r="AS36" s="16"/>
      <c r="AT36" s="16"/>
      <c r="AU36" s="16"/>
      <c r="AV36" s="16"/>
      <c r="AW36" s="16"/>
      <c r="AX36" s="16"/>
      <c r="AY36" s="16"/>
      <c r="AZ36" s="16"/>
      <c r="BA36" s="16"/>
      <c r="BB36" s="16"/>
      <c r="BC36" s="16"/>
      <c r="BD36" s="16"/>
      <c r="BE36" s="16"/>
      <c r="BF36" s="16"/>
      <c r="BG36" s="16"/>
      <c r="BH36" s="16"/>
      <c r="BI36" s="16"/>
      <c r="BJ36" s="16"/>
      <c r="BK36" s="16"/>
      <c r="BL36" s="16"/>
      <c r="BM36" s="16"/>
      <c r="BN36" s="16"/>
      <c r="BO36" s="16"/>
      <c r="BP36" s="16"/>
      <c r="BQ36" s="16"/>
      <c r="BR36" s="16"/>
      <c r="BS36" s="16"/>
      <c r="BT36" s="16"/>
    </row>
    <row r="37" spans="1:72" ht="15.75" x14ac:dyDescent="0.25">
      <c r="A37" s="166" t="s">
        <v>169</v>
      </c>
      <c r="B37" s="167"/>
      <c r="C37" s="167"/>
      <c r="D37" s="168"/>
      <c r="E37" s="124" t="s">
        <v>28</v>
      </c>
      <c r="F37" s="128"/>
      <c r="G37" s="12">
        <v>393.51</v>
      </c>
      <c r="H37" s="12">
        <f t="shared" ref="H37:H43" si="5">F37*G37</f>
        <v>0</v>
      </c>
      <c r="I37" s="128"/>
      <c r="J37" s="13">
        <v>406</v>
      </c>
      <c r="K37" s="13">
        <f t="shared" si="2"/>
        <v>0</v>
      </c>
      <c r="L37" s="129"/>
      <c r="M37" s="13">
        <v>564.86</v>
      </c>
      <c r="N37" s="13">
        <f t="shared" si="3"/>
        <v>0</v>
      </c>
      <c r="O37" s="109"/>
      <c r="P37" s="109"/>
      <c r="Q37" s="109"/>
      <c r="R37" s="109"/>
      <c r="S37" s="109"/>
      <c r="T37" s="109"/>
      <c r="U37" s="107"/>
      <c r="V37" s="15">
        <v>0</v>
      </c>
      <c r="W37" s="107"/>
      <c r="X37" s="107"/>
      <c r="Y37" s="16" t="s">
        <v>170</v>
      </c>
      <c r="Z37" s="17"/>
      <c r="AA37" s="16"/>
      <c r="AB37" s="16"/>
      <c r="AC37" s="16"/>
      <c r="AD37" s="16"/>
      <c r="AE37" s="16"/>
      <c r="AF37" s="16"/>
      <c r="AG37" s="16"/>
      <c r="AH37" s="16"/>
      <c r="AI37" s="16"/>
      <c r="AJ37" s="16"/>
      <c r="AK37" s="16"/>
      <c r="AL37" s="16"/>
      <c r="AM37" s="16"/>
      <c r="AN37" s="16"/>
      <c r="AO37" s="16"/>
      <c r="AP37" s="16"/>
      <c r="AQ37" s="16"/>
      <c r="AR37" s="16"/>
      <c r="AS37" s="16"/>
      <c r="AT37" s="16"/>
      <c r="AU37" s="16"/>
      <c r="AV37" s="16"/>
      <c r="AW37" s="16"/>
      <c r="AX37" s="16"/>
      <c r="AY37" s="16"/>
      <c r="AZ37" s="16"/>
      <c r="BA37" s="16"/>
      <c r="BB37" s="16"/>
      <c r="BC37" s="16"/>
      <c r="BD37" s="16"/>
      <c r="BE37" s="16"/>
      <c r="BF37" s="16"/>
      <c r="BG37" s="16"/>
      <c r="BH37" s="16"/>
      <c r="BI37" s="16"/>
      <c r="BJ37" s="16"/>
      <c r="BK37" s="16"/>
      <c r="BL37" s="16"/>
      <c r="BM37" s="16"/>
      <c r="BN37" s="16"/>
      <c r="BO37" s="16"/>
      <c r="BP37" s="16"/>
      <c r="BQ37" s="16"/>
      <c r="BR37" s="16"/>
      <c r="BS37" s="16"/>
      <c r="BT37" s="16"/>
    </row>
    <row r="38" spans="1:72" ht="15.75" x14ac:dyDescent="0.25">
      <c r="A38" s="235" t="s">
        <v>27</v>
      </c>
      <c r="B38" s="235"/>
      <c r="C38" s="235"/>
      <c r="D38" s="235"/>
      <c r="E38" s="124" t="s">
        <v>28</v>
      </c>
      <c r="F38" s="128"/>
      <c r="G38" s="12">
        <v>0</v>
      </c>
      <c r="H38" s="12">
        <f t="shared" si="5"/>
        <v>0</v>
      </c>
      <c r="I38" s="128"/>
      <c r="J38" s="13">
        <v>0</v>
      </c>
      <c r="K38" s="13">
        <f t="shared" si="2"/>
        <v>0</v>
      </c>
      <c r="L38" s="129"/>
      <c r="M38" s="13">
        <v>0</v>
      </c>
      <c r="N38" s="13">
        <f t="shared" si="3"/>
        <v>0</v>
      </c>
      <c r="O38" s="107"/>
      <c r="P38" s="107"/>
      <c r="Q38" s="107"/>
      <c r="R38" s="107"/>
      <c r="S38" s="107"/>
      <c r="T38" s="107"/>
      <c r="U38" s="107"/>
      <c r="V38" s="15">
        <f>+O38+P38+Q38+R38+S38+T38+U38-W38-X38</f>
        <v>0</v>
      </c>
      <c r="W38" s="107"/>
      <c r="X38" s="107"/>
      <c r="Y38" s="16"/>
      <c r="Z38" s="17"/>
      <c r="AA38" s="16"/>
      <c r="AB38" s="16"/>
      <c r="AC38" s="16"/>
      <c r="AD38" s="16"/>
      <c r="AE38" s="16"/>
      <c r="AF38" s="16"/>
      <c r="AG38" s="16"/>
      <c r="AH38" s="16"/>
      <c r="AI38" s="16"/>
      <c r="AJ38" s="16"/>
      <c r="AK38" s="16"/>
      <c r="AL38" s="16"/>
      <c r="AM38" s="16"/>
      <c r="AN38" s="16"/>
      <c r="AO38" s="16"/>
      <c r="AP38" s="16"/>
      <c r="AQ38" s="16"/>
      <c r="AR38" s="16"/>
      <c r="AS38" s="16"/>
      <c r="AT38" s="16"/>
      <c r="AU38" s="16"/>
      <c r="AV38" s="16"/>
      <c r="AW38" s="16"/>
      <c r="AX38" s="16"/>
      <c r="AY38" s="16"/>
      <c r="AZ38" s="16"/>
      <c r="BA38" s="16"/>
      <c r="BB38" s="16"/>
      <c r="BC38" s="16"/>
      <c r="BD38" s="16"/>
      <c r="BE38" s="16"/>
      <c r="BF38" s="16"/>
      <c r="BG38" s="16"/>
      <c r="BH38" s="16"/>
      <c r="BI38" s="16"/>
      <c r="BJ38" s="16"/>
      <c r="BK38" s="16"/>
      <c r="BL38" s="16"/>
      <c r="BM38" s="16"/>
      <c r="BN38" s="16"/>
      <c r="BO38" s="16"/>
      <c r="BP38" s="16"/>
      <c r="BQ38" s="16"/>
      <c r="BR38" s="16"/>
      <c r="BS38" s="16"/>
      <c r="BT38" s="16"/>
    </row>
    <row r="39" spans="1:72" ht="15.75" x14ac:dyDescent="0.25">
      <c r="A39" s="235" t="s">
        <v>29</v>
      </c>
      <c r="B39" s="235"/>
      <c r="C39" s="235"/>
      <c r="D39" s="235"/>
      <c r="E39" s="124" t="s">
        <v>28</v>
      </c>
      <c r="F39" s="128"/>
      <c r="G39" s="12">
        <v>339.75</v>
      </c>
      <c r="H39" s="12">
        <f t="shared" si="5"/>
        <v>0</v>
      </c>
      <c r="I39" s="128"/>
      <c r="J39" s="13">
        <v>325.79000000000002</v>
      </c>
      <c r="K39" s="13">
        <f t="shared" si="2"/>
        <v>0</v>
      </c>
      <c r="L39" s="129"/>
      <c r="M39" s="13">
        <v>488.68</v>
      </c>
      <c r="N39" s="13">
        <f t="shared" si="3"/>
        <v>0</v>
      </c>
      <c r="O39" s="107"/>
      <c r="P39" s="107"/>
      <c r="Q39" s="107"/>
      <c r="R39" s="107"/>
      <c r="S39" s="107"/>
      <c r="T39" s="107"/>
      <c r="U39" s="107"/>
      <c r="V39" s="15">
        <f>+O39+P39+Q39+R39+S39+T39+U39-W39-X39</f>
        <v>0</v>
      </c>
      <c r="W39" s="107"/>
      <c r="X39" s="107"/>
      <c r="Y39" s="16"/>
      <c r="Z39" s="17"/>
      <c r="AA39" s="16"/>
      <c r="AB39" s="16"/>
      <c r="AC39" s="16"/>
      <c r="AD39" s="16"/>
      <c r="AE39" s="16"/>
      <c r="AF39" s="16"/>
      <c r="AG39" s="16"/>
      <c r="AH39" s="16"/>
      <c r="AI39" s="16"/>
      <c r="AJ39" s="16"/>
      <c r="AK39" s="16"/>
      <c r="AL39" s="16"/>
      <c r="AM39" s="16"/>
      <c r="AN39" s="16"/>
      <c r="AO39" s="16"/>
      <c r="AP39" s="16"/>
      <c r="AQ39" s="16"/>
      <c r="AR39" s="16"/>
      <c r="AS39" s="16"/>
      <c r="AT39" s="16"/>
      <c r="AU39" s="16"/>
      <c r="AV39" s="16"/>
      <c r="AW39" s="16"/>
      <c r="AX39" s="16"/>
      <c r="AY39" s="16"/>
      <c r="AZ39" s="16"/>
      <c r="BA39" s="16"/>
      <c r="BB39" s="16"/>
      <c r="BC39" s="16"/>
      <c r="BD39" s="16"/>
      <c r="BE39" s="16"/>
      <c r="BF39" s="16"/>
      <c r="BG39" s="16"/>
      <c r="BH39" s="16"/>
      <c r="BI39" s="16"/>
      <c r="BJ39" s="16"/>
      <c r="BK39" s="16"/>
      <c r="BL39" s="16"/>
      <c r="BM39" s="16"/>
      <c r="BN39" s="16"/>
      <c r="BO39" s="16"/>
      <c r="BP39" s="16"/>
      <c r="BQ39" s="16"/>
      <c r="BR39" s="16"/>
      <c r="BS39" s="16"/>
      <c r="BT39" s="16"/>
    </row>
    <row r="40" spans="1:72" ht="15.75" x14ac:dyDescent="0.25">
      <c r="A40" s="232" t="s">
        <v>43</v>
      </c>
      <c r="B40" s="233"/>
      <c r="C40" s="233"/>
      <c r="D40" s="234"/>
      <c r="E40" s="124" t="s">
        <v>28</v>
      </c>
      <c r="F40" s="128"/>
      <c r="G40" s="12">
        <v>339.75</v>
      </c>
      <c r="H40" s="12">
        <f t="shared" si="5"/>
        <v>0</v>
      </c>
      <c r="I40" s="128"/>
      <c r="J40" s="13">
        <v>325.79000000000002</v>
      </c>
      <c r="K40" s="13">
        <f t="shared" si="2"/>
        <v>0</v>
      </c>
      <c r="L40" s="129"/>
      <c r="M40" s="13">
        <v>488.68</v>
      </c>
      <c r="N40" s="13">
        <f t="shared" si="3"/>
        <v>0</v>
      </c>
      <c r="O40" s="107"/>
      <c r="P40" s="107"/>
      <c r="Q40" s="107"/>
      <c r="R40" s="107"/>
      <c r="S40" s="107"/>
      <c r="T40" s="107"/>
      <c r="U40" s="107"/>
      <c r="V40" s="15">
        <f t="shared" si="4"/>
        <v>0</v>
      </c>
      <c r="W40" s="107"/>
      <c r="X40" s="107"/>
      <c r="Y40" s="16"/>
      <c r="Z40" s="17"/>
      <c r="AA40" s="16"/>
      <c r="AB40" s="16"/>
      <c r="AC40" s="16"/>
      <c r="AD40" s="16"/>
      <c r="AE40" s="16"/>
      <c r="AF40" s="1"/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  <c r="AX40" s="1"/>
      <c r="AY40" s="1"/>
      <c r="AZ40" s="1"/>
      <c r="BA40" s="1"/>
      <c r="BB40" s="1"/>
      <c r="BC40" s="1"/>
      <c r="BD40" s="1"/>
      <c r="BE40" s="1"/>
      <c r="BF40" s="1"/>
      <c r="BG40" s="1"/>
      <c r="BH40" s="1"/>
      <c r="BI40" s="1"/>
      <c r="BJ40" s="1"/>
      <c r="BK40" s="1"/>
      <c r="BL40" s="1"/>
      <c r="BM40" s="1"/>
      <c r="BN40" s="1"/>
      <c r="BO40" s="1"/>
      <c r="BP40" s="1"/>
      <c r="BQ40" s="1"/>
      <c r="BR40" s="1"/>
      <c r="BS40" s="1"/>
      <c r="BT40" s="1"/>
    </row>
    <row r="41" spans="1:72" ht="15.75" x14ac:dyDescent="0.25">
      <c r="A41" s="232" t="s">
        <v>44</v>
      </c>
      <c r="B41" s="233"/>
      <c r="C41" s="233"/>
      <c r="D41" s="234"/>
      <c r="E41" s="124" t="s">
        <v>28</v>
      </c>
      <c r="F41" s="128"/>
      <c r="G41" s="12">
        <v>339.75</v>
      </c>
      <c r="H41" s="12">
        <f t="shared" si="5"/>
        <v>0</v>
      </c>
      <c r="I41" s="128"/>
      <c r="J41" s="13">
        <v>325.79000000000002</v>
      </c>
      <c r="K41" s="13">
        <f t="shared" si="2"/>
        <v>0</v>
      </c>
      <c r="L41" s="129"/>
      <c r="M41" s="13">
        <v>488.68</v>
      </c>
      <c r="N41" s="13">
        <f t="shared" si="3"/>
        <v>0</v>
      </c>
      <c r="O41" s="107"/>
      <c r="P41" s="107"/>
      <c r="Q41" s="107"/>
      <c r="R41" s="107"/>
      <c r="S41" s="107"/>
      <c r="T41" s="107"/>
      <c r="U41" s="107"/>
      <c r="V41" s="15">
        <f t="shared" si="4"/>
        <v>0</v>
      </c>
      <c r="W41" s="107"/>
      <c r="X41" s="107"/>
      <c r="Y41" s="1"/>
      <c r="Z41" s="120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  <c r="AX41" s="1"/>
      <c r="AY41" s="1"/>
      <c r="AZ41" s="1"/>
      <c r="BA41" s="1"/>
      <c r="BB41" s="1"/>
      <c r="BC41" s="1"/>
      <c r="BD41" s="1"/>
      <c r="BE41" s="1"/>
      <c r="BF41" s="1"/>
      <c r="BG41" s="1"/>
      <c r="BH41" s="1"/>
      <c r="BI41" s="1"/>
      <c r="BJ41" s="1"/>
      <c r="BK41" s="1"/>
      <c r="BL41" s="1"/>
      <c r="BM41" s="1"/>
      <c r="BN41" s="1"/>
      <c r="BO41" s="1"/>
      <c r="BP41" s="1"/>
      <c r="BQ41" s="1"/>
      <c r="BR41" s="1"/>
      <c r="BS41" s="1"/>
      <c r="BT41" s="1"/>
    </row>
    <row r="42" spans="1:72" ht="15.75" x14ac:dyDescent="0.25">
      <c r="A42" s="232" t="s">
        <v>45</v>
      </c>
      <c r="B42" s="233"/>
      <c r="C42" s="233"/>
      <c r="D42" s="234"/>
      <c r="E42" s="124" t="s">
        <v>28</v>
      </c>
      <c r="F42" s="128"/>
      <c r="G42" s="14">
        <v>1004.49</v>
      </c>
      <c r="H42" s="14">
        <f t="shared" si="5"/>
        <v>0</v>
      </c>
      <c r="I42" s="128"/>
      <c r="J42" s="13">
        <v>1164.98</v>
      </c>
      <c r="K42" s="13">
        <f t="shared" si="2"/>
        <v>0</v>
      </c>
      <c r="L42" s="129"/>
      <c r="M42" s="13">
        <v>1747.46</v>
      </c>
      <c r="N42" s="13">
        <f t="shared" si="3"/>
        <v>0</v>
      </c>
      <c r="O42" s="107"/>
      <c r="P42" s="107"/>
      <c r="Q42" s="107"/>
      <c r="R42" s="107"/>
      <c r="S42" s="107"/>
      <c r="T42" s="107"/>
      <c r="U42" s="107"/>
      <c r="V42" s="15">
        <f t="shared" si="4"/>
        <v>0</v>
      </c>
      <c r="W42" s="107"/>
      <c r="X42" s="107"/>
      <c r="Y42" s="1"/>
      <c r="Z42" s="120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  <c r="AX42" s="1"/>
      <c r="AY42" s="1"/>
      <c r="AZ42" s="1"/>
      <c r="BA42" s="1"/>
      <c r="BB42" s="1"/>
      <c r="BC42" s="1"/>
      <c r="BD42" s="1"/>
      <c r="BE42" s="1"/>
      <c r="BF42" s="1"/>
      <c r="BG42" s="1"/>
      <c r="BH42" s="1"/>
      <c r="BI42" s="1"/>
      <c r="BJ42" s="1"/>
      <c r="BK42" s="1"/>
      <c r="BL42" s="1"/>
      <c r="BM42" s="1"/>
      <c r="BN42" s="1"/>
      <c r="BO42" s="1"/>
      <c r="BP42" s="1"/>
      <c r="BQ42" s="1"/>
      <c r="BR42" s="1"/>
      <c r="BS42" s="1"/>
      <c r="BT42" s="1"/>
    </row>
    <row r="43" spans="1:72" ht="15.75" x14ac:dyDescent="0.25">
      <c r="A43" s="232" t="s">
        <v>46</v>
      </c>
      <c r="B43" s="233"/>
      <c r="C43" s="233"/>
      <c r="D43" s="234"/>
      <c r="E43" s="124" t="s">
        <v>28</v>
      </c>
      <c r="F43" s="128"/>
      <c r="G43" s="14"/>
      <c r="H43" s="14">
        <f t="shared" si="5"/>
        <v>0</v>
      </c>
      <c r="I43" s="128"/>
      <c r="J43" s="13">
        <f>G43*1.5</f>
        <v>0</v>
      </c>
      <c r="K43" s="13">
        <f t="shared" si="2"/>
        <v>0</v>
      </c>
      <c r="L43" s="129"/>
      <c r="M43" s="13">
        <f>G43*2.25</f>
        <v>0</v>
      </c>
      <c r="N43" s="13">
        <f t="shared" si="3"/>
        <v>0</v>
      </c>
      <c r="O43" s="107"/>
      <c r="P43" s="107"/>
      <c r="Q43" s="107"/>
      <c r="R43" s="107"/>
      <c r="S43" s="107"/>
      <c r="T43" s="107"/>
      <c r="U43" s="107"/>
      <c r="V43" s="15">
        <f t="shared" si="4"/>
        <v>0</v>
      </c>
      <c r="W43" s="107"/>
      <c r="X43" s="107"/>
      <c r="Y43" s="1"/>
      <c r="Z43" s="120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  <c r="AX43" s="1"/>
      <c r="AY43" s="1"/>
      <c r="AZ43" s="1"/>
      <c r="BA43" s="1"/>
      <c r="BB43" s="1"/>
      <c r="BC43" s="1"/>
      <c r="BD43" s="1"/>
      <c r="BE43" s="1"/>
      <c r="BF43" s="1"/>
      <c r="BG43" s="1"/>
      <c r="BH43" s="1"/>
      <c r="BI43" s="1"/>
      <c r="BJ43" s="1"/>
      <c r="BK43" s="1"/>
      <c r="BL43" s="1"/>
      <c r="BM43" s="1"/>
      <c r="BN43" s="1"/>
      <c r="BO43" s="1"/>
      <c r="BP43" s="1"/>
      <c r="BQ43" s="1"/>
      <c r="BR43" s="1"/>
      <c r="BS43" s="1"/>
      <c r="BT43" s="1"/>
    </row>
    <row r="44" spans="1:72" ht="15.75" x14ac:dyDescent="0.25">
      <c r="A44" s="7"/>
      <c r="B44" s="7"/>
      <c r="C44" s="7"/>
      <c r="D44" s="7"/>
      <c r="E44" s="7"/>
      <c r="F44" s="7">
        <f>V44</f>
        <v>0</v>
      </c>
      <c r="G44" s="6" t="s">
        <v>47</v>
      </c>
      <c r="H44" s="19">
        <f>SUM(H21:H43)</f>
        <v>1834</v>
      </c>
      <c r="I44" s="103"/>
      <c r="J44" s="6" t="s">
        <v>48</v>
      </c>
      <c r="K44" s="6">
        <f>SUM(K21:K43)</f>
        <v>415.03999999999996</v>
      </c>
      <c r="L44" s="145"/>
      <c r="M44" s="21" t="s">
        <v>48</v>
      </c>
      <c r="N44" s="6">
        <f>SUM(N21:N43)</f>
        <v>0</v>
      </c>
      <c r="O44" s="16"/>
      <c r="P44" s="16"/>
      <c r="Q44" s="16"/>
      <c r="R44" s="16"/>
      <c r="S44" s="16"/>
      <c r="T44" s="16"/>
      <c r="U44" s="16"/>
      <c r="V44" s="16"/>
      <c r="W44" s="16"/>
      <c r="X44" s="16"/>
      <c r="Y44" s="1"/>
      <c r="Z44" s="120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  <c r="AX44" s="1"/>
      <c r="AY44" s="1"/>
      <c r="AZ44" s="1"/>
      <c r="BA44" s="1"/>
      <c r="BB44" s="1"/>
      <c r="BC44" s="1"/>
      <c r="BD44" s="1"/>
      <c r="BE44" s="1"/>
      <c r="BF44" s="1"/>
      <c r="BG44" s="1"/>
      <c r="BH44" s="1"/>
      <c r="BI44" s="1"/>
      <c r="BJ44" s="1"/>
      <c r="BK44" s="1"/>
      <c r="BL44" s="1"/>
      <c r="BM44" s="1"/>
      <c r="BN44" s="1"/>
      <c r="BO44" s="1"/>
      <c r="BP44" s="1"/>
      <c r="BQ44" s="1"/>
      <c r="BR44" s="1"/>
      <c r="BS44" s="1"/>
      <c r="BT44" s="1"/>
    </row>
    <row r="45" spans="1:72" ht="15.75" x14ac:dyDescent="0.25">
      <c r="A45" s="7"/>
      <c r="B45" s="7"/>
      <c r="C45" s="7"/>
      <c r="D45" s="7"/>
      <c r="E45" s="7"/>
      <c r="F45" s="7"/>
      <c r="G45" s="6" t="s">
        <v>49</v>
      </c>
      <c r="H45" s="19">
        <f>H44+K44+N44</f>
        <v>2249.04</v>
      </c>
      <c r="I45" s="22"/>
      <c r="J45" s="22"/>
      <c r="K45" s="22"/>
      <c r="L45" s="7"/>
      <c r="M45" s="23"/>
      <c r="N45" s="22"/>
      <c r="O45" s="16"/>
      <c r="P45" s="16"/>
      <c r="Q45" s="16"/>
      <c r="R45" s="16"/>
      <c r="S45" s="16"/>
      <c r="T45" s="16"/>
      <c r="U45" s="16"/>
      <c r="V45" s="16"/>
      <c r="W45" s="16"/>
      <c r="X45" s="16"/>
      <c r="Y45" s="1"/>
      <c r="Z45" s="120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  <c r="AX45" s="1"/>
      <c r="AY45" s="1"/>
      <c r="AZ45" s="1"/>
      <c r="BA45" s="1"/>
      <c r="BB45" s="1"/>
      <c r="BC45" s="1"/>
      <c r="BD45" s="1"/>
      <c r="BE45" s="1"/>
      <c r="BF45" s="1"/>
      <c r="BG45" s="1"/>
      <c r="BH45" s="1"/>
      <c r="BI45" s="1"/>
      <c r="BJ45" s="1"/>
      <c r="BK45" s="1"/>
      <c r="BL45" s="1"/>
      <c r="BM45" s="1"/>
      <c r="BN45" s="1"/>
      <c r="BO45" s="1"/>
      <c r="BP45" s="1"/>
      <c r="BQ45" s="1"/>
      <c r="BR45" s="1"/>
      <c r="BS45" s="1"/>
      <c r="BT45" s="1"/>
    </row>
    <row r="46" spans="1:72" ht="15.75" x14ac:dyDescent="0.25">
      <c r="A46" s="274" t="s">
        <v>50</v>
      </c>
      <c r="B46" s="274"/>
      <c r="C46" s="274"/>
      <c r="D46" s="274"/>
      <c r="E46" s="24"/>
      <c r="F46" s="25"/>
      <c r="G46" s="26" t="s">
        <v>51</v>
      </c>
      <c r="H46" s="6">
        <f>+H45*0.06</f>
        <v>134.94239999999999</v>
      </c>
      <c r="I46" s="22"/>
      <c r="J46" s="7"/>
      <c r="K46" s="7"/>
      <c r="L46" s="7"/>
      <c r="M46" s="7"/>
      <c r="N46" s="7"/>
      <c r="O46" s="16"/>
      <c r="P46" s="16"/>
      <c r="Q46" s="16"/>
      <c r="R46" s="16"/>
      <c r="S46" s="16"/>
      <c r="T46" s="16"/>
      <c r="U46" s="16"/>
      <c r="V46" s="16"/>
      <c r="W46" s="16"/>
      <c r="X46" s="16"/>
      <c r="Y46" s="1"/>
      <c r="Z46" s="120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  <c r="AY46" s="1"/>
      <c r="AZ46" s="1"/>
      <c r="BA46" s="1"/>
      <c r="BB46" s="1"/>
      <c r="BC46" s="1"/>
      <c r="BD46" s="1"/>
      <c r="BE46" s="1"/>
      <c r="BF46" s="1"/>
      <c r="BG46" s="1"/>
      <c r="BH46" s="1"/>
      <c r="BI46" s="1"/>
      <c r="BJ46" s="1"/>
      <c r="BK46" s="1"/>
      <c r="BL46" s="1"/>
      <c r="BM46" s="1"/>
      <c r="BN46" s="1"/>
      <c r="BO46" s="1"/>
      <c r="BP46" s="1"/>
      <c r="BQ46" s="1"/>
      <c r="BR46" s="1"/>
      <c r="BS46" s="1"/>
      <c r="BT46" s="1"/>
    </row>
    <row r="47" spans="1:72" ht="15.75" x14ac:dyDescent="0.25">
      <c r="A47" s="172"/>
      <c r="B47" s="172"/>
      <c r="C47" s="172"/>
      <c r="D47" s="172"/>
      <c r="E47" s="7"/>
      <c r="F47" s="7"/>
      <c r="G47" s="175"/>
      <c r="H47" s="22"/>
      <c r="I47" s="173"/>
      <c r="J47" s="7"/>
      <c r="K47" s="7"/>
      <c r="L47" s="7"/>
      <c r="M47" s="7"/>
      <c r="N47" s="7"/>
      <c r="O47" s="16"/>
      <c r="P47" s="16"/>
      <c r="Q47" s="16"/>
      <c r="R47" s="16"/>
      <c r="S47" s="16"/>
      <c r="T47" s="16"/>
      <c r="U47" s="16"/>
      <c r="V47" s="16"/>
      <c r="W47" s="16"/>
      <c r="X47" s="16"/>
      <c r="Y47" s="1"/>
      <c r="Z47" s="120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  <c r="AX47" s="1"/>
      <c r="AY47" s="1"/>
      <c r="AZ47" s="1"/>
      <c r="BA47" s="1"/>
      <c r="BB47" s="1"/>
      <c r="BC47" s="1"/>
      <c r="BD47" s="1"/>
      <c r="BE47" s="1"/>
      <c r="BF47" s="1"/>
      <c r="BG47" s="1"/>
      <c r="BH47" s="1"/>
      <c r="BI47" s="1"/>
      <c r="BJ47" s="1"/>
      <c r="BK47" s="1"/>
      <c r="BL47" s="1"/>
      <c r="BM47" s="1"/>
      <c r="BN47" s="1"/>
      <c r="BO47" s="1"/>
      <c r="BP47" s="1"/>
      <c r="BQ47" s="1"/>
      <c r="BR47" s="1"/>
      <c r="BS47" s="1"/>
      <c r="BT47" s="1"/>
    </row>
    <row r="48" spans="1:72" ht="15.75" x14ac:dyDescent="0.25">
      <c r="A48" s="37"/>
      <c r="B48" s="37"/>
      <c r="C48" s="37"/>
      <c r="D48" s="37"/>
      <c r="E48" s="7"/>
      <c r="F48" s="7"/>
      <c r="G48" s="175"/>
      <c r="H48" s="22"/>
      <c r="I48" s="22"/>
      <c r="J48" s="7"/>
      <c r="K48" s="7"/>
      <c r="L48" s="7"/>
      <c r="M48" s="7"/>
      <c r="N48" s="7"/>
      <c r="O48" s="16"/>
      <c r="P48" s="16"/>
      <c r="Q48" s="16"/>
      <c r="R48" s="16"/>
      <c r="S48" s="16"/>
      <c r="T48" s="16"/>
      <c r="U48" s="16"/>
      <c r="V48" s="16"/>
      <c r="W48" s="16"/>
      <c r="X48" s="16"/>
      <c r="Y48" s="1"/>
      <c r="Z48" s="120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  <c r="AX48" s="1"/>
      <c r="AY48" s="1"/>
      <c r="AZ48" s="1"/>
      <c r="BA48" s="1"/>
      <c r="BB48" s="1"/>
      <c r="BC48" s="1"/>
      <c r="BD48" s="1"/>
      <c r="BE48" s="1"/>
      <c r="BF48" s="1"/>
      <c r="BG48" s="1"/>
      <c r="BH48" s="1"/>
      <c r="BI48" s="1"/>
      <c r="BJ48" s="1"/>
      <c r="BK48" s="1"/>
      <c r="BL48" s="1"/>
      <c r="BM48" s="1"/>
      <c r="BN48" s="1"/>
      <c r="BO48" s="1"/>
      <c r="BP48" s="1"/>
      <c r="BQ48" s="1"/>
      <c r="BR48" s="1"/>
      <c r="BS48" s="1"/>
      <c r="BT48" s="1"/>
    </row>
    <row r="49" spans="1:72" ht="15.75" x14ac:dyDescent="0.25">
      <c r="A49" s="239" t="s">
        <v>52</v>
      </c>
      <c r="B49" s="239"/>
      <c r="C49" s="239"/>
      <c r="D49" s="239"/>
      <c r="E49" s="7"/>
      <c r="F49" s="7"/>
      <c r="G49" s="38"/>
      <c r="H49" s="22"/>
      <c r="I49" s="22"/>
      <c r="J49" s="7"/>
      <c r="K49" s="7"/>
      <c r="L49" s="7"/>
      <c r="M49" s="7"/>
      <c r="N49" s="7"/>
      <c r="O49" s="16"/>
      <c r="P49" s="16"/>
      <c r="Q49" s="16"/>
      <c r="R49" s="16"/>
      <c r="S49" s="16"/>
      <c r="T49" s="16"/>
      <c r="U49" s="16"/>
      <c r="V49" s="16"/>
      <c r="W49" s="16"/>
      <c r="X49" s="16"/>
      <c r="Y49" s="1"/>
      <c r="Z49" s="120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  <c r="AX49" s="1"/>
      <c r="AY49" s="1"/>
      <c r="AZ49" s="1"/>
      <c r="BA49" s="1"/>
      <c r="BB49" s="1"/>
      <c r="BC49" s="1"/>
      <c r="BD49" s="1"/>
      <c r="BE49" s="1"/>
      <c r="BF49" s="1"/>
      <c r="BG49" s="1"/>
      <c r="BH49" s="1"/>
      <c r="BI49" s="1"/>
      <c r="BJ49" s="1"/>
      <c r="BK49" s="1"/>
      <c r="BL49" s="1"/>
      <c r="BM49" s="1"/>
      <c r="BN49" s="1"/>
      <c r="BO49" s="1"/>
      <c r="BP49" s="1"/>
      <c r="BQ49" s="1"/>
      <c r="BR49" s="1"/>
      <c r="BS49" s="1"/>
      <c r="BT49" s="1"/>
    </row>
    <row r="50" spans="1:72" ht="15.75" x14ac:dyDescent="0.25">
      <c r="A50" s="240" t="s">
        <v>7</v>
      </c>
      <c r="B50" s="240"/>
      <c r="C50" s="240"/>
      <c r="D50" s="240"/>
      <c r="E50" s="28" t="s">
        <v>8</v>
      </c>
      <c r="F50" s="174" t="s">
        <v>9</v>
      </c>
      <c r="G50" s="174" t="s">
        <v>10</v>
      </c>
      <c r="H50" s="174" t="s">
        <v>0</v>
      </c>
      <c r="I50" s="38"/>
      <c r="J50" s="118" t="s">
        <v>53</v>
      </c>
      <c r="K50" s="118" t="s">
        <v>54</v>
      </c>
      <c r="L50" s="118" t="s">
        <v>55</v>
      </c>
      <c r="M50" s="118" t="s">
        <v>56</v>
      </c>
      <c r="N50" s="16"/>
      <c r="O50" s="16"/>
      <c r="P50" s="16"/>
      <c r="Q50" s="16"/>
      <c r="R50" s="16"/>
      <c r="S50" s="16"/>
      <c r="T50" s="16"/>
      <c r="U50" s="16"/>
      <c r="V50" s="16"/>
      <c r="W50" s="16"/>
      <c r="X50" s="16"/>
      <c r="Y50" s="1"/>
      <c r="Z50" s="120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  <c r="AX50" s="1"/>
      <c r="AY50" s="1"/>
      <c r="AZ50" s="1"/>
      <c r="BA50" s="1"/>
      <c r="BB50" s="1"/>
      <c r="BC50" s="1"/>
      <c r="BD50" s="1"/>
      <c r="BE50" s="1"/>
      <c r="BF50" s="1"/>
      <c r="BG50" s="1"/>
      <c r="BH50" s="1"/>
      <c r="BI50" s="1"/>
      <c r="BJ50" s="1"/>
      <c r="BK50" s="1"/>
      <c r="BL50" s="1"/>
      <c r="BM50" s="1"/>
      <c r="BN50" s="1"/>
      <c r="BO50" s="1"/>
      <c r="BP50" s="1"/>
      <c r="BQ50" s="1"/>
      <c r="BR50" s="1"/>
      <c r="BS50" s="1"/>
      <c r="BT50" s="1"/>
    </row>
    <row r="51" spans="1:72" ht="33.6" customHeight="1" x14ac:dyDescent="0.25">
      <c r="A51" s="236" t="s">
        <v>133</v>
      </c>
      <c r="B51" s="237"/>
      <c r="C51" s="237"/>
      <c r="D51" s="237"/>
      <c r="E51" s="31" t="s">
        <v>57</v>
      </c>
      <c r="F51" s="146">
        <v>0</v>
      </c>
      <c r="G51" s="127">
        <v>150</v>
      </c>
      <c r="H51" s="127">
        <f t="shared" ref="H51:H57" si="6">F51*G51</f>
        <v>0</v>
      </c>
      <c r="I51" s="30"/>
      <c r="J51" s="31"/>
      <c r="K51" s="31"/>
      <c r="L51" s="31"/>
      <c r="M51" s="31">
        <f t="shared" ref="M51:M57" si="7">J51+K51+L51</f>
        <v>0</v>
      </c>
      <c r="N51" s="16"/>
      <c r="O51" s="16"/>
      <c r="P51" s="16"/>
      <c r="Q51" s="16"/>
      <c r="R51" s="16"/>
      <c r="S51" s="16"/>
      <c r="T51" s="16"/>
      <c r="U51" s="16"/>
      <c r="V51" s="16"/>
      <c r="W51" s="16"/>
      <c r="X51" s="16"/>
      <c r="Y51" s="1"/>
      <c r="Z51" s="120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  <c r="AX51" s="1"/>
      <c r="AY51" s="1"/>
      <c r="AZ51" s="1"/>
      <c r="BA51" s="1"/>
      <c r="BB51" s="1"/>
      <c r="BC51" s="1"/>
      <c r="BD51" s="1"/>
      <c r="BE51" s="1"/>
      <c r="BF51" s="1"/>
      <c r="BG51" s="1"/>
      <c r="BH51" s="1"/>
      <c r="BI51" s="1"/>
      <c r="BJ51" s="1"/>
      <c r="BK51" s="1"/>
      <c r="BL51" s="1"/>
      <c r="BM51" s="1"/>
      <c r="BN51" s="1"/>
      <c r="BO51" s="1"/>
      <c r="BP51" s="1"/>
      <c r="BQ51" s="1"/>
      <c r="BR51" s="1"/>
      <c r="BS51" s="1"/>
      <c r="BT51" s="1"/>
    </row>
    <row r="52" spans="1:72" ht="33.6" customHeight="1" x14ac:dyDescent="0.25">
      <c r="A52" s="236" t="s">
        <v>134</v>
      </c>
      <c r="B52" s="237"/>
      <c r="C52" s="237"/>
      <c r="D52" s="237"/>
      <c r="E52" s="31" t="s">
        <v>57</v>
      </c>
      <c r="F52" s="146">
        <v>0</v>
      </c>
      <c r="G52" s="127">
        <v>150</v>
      </c>
      <c r="H52" s="127">
        <f t="shared" si="6"/>
        <v>0</v>
      </c>
      <c r="I52" s="30"/>
      <c r="J52" s="31"/>
      <c r="K52" s="31"/>
      <c r="L52" s="31"/>
      <c r="M52" s="31">
        <f t="shared" si="7"/>
        <v>0</v>
      </c>
      <c r="N52" s="16"/>
      <c r="O52" s="16"/>
      <c r="P52" s="16"/>
      <c r="Q52" s="16"/>
      <c r="R52" s="16"/>
      <c r="S52" s="16"/>
      <c r="T52" s="16"/>
      <c r="U52" s="16"/>
      <c r="V52" s="16"/>
      <c r="W52" s="16"/>
      <c r="X52" s="16"/>
      <c r="Y52" s="1"/>
      <c r="Z52" s="120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  <c r="AX52" s="1"/>
      <c r="AY52" s="1"/>
      <c r="AZ52" s="1"/>
      <c r="BA52" s="1"/>
      <c r="BB52" s="1"/>
      <c r="BC52" s="1"/>
      <c r="BD52" s="1"/>
      <c r="BE52" s="1"/>
      <c r="BF52" s="1"/>
      <c r="BG52" s="1"/>
      <c r="BH52" s="1"/>
      <c r="BI52" s="1"/>
      <c r="BJ52" s="1"/>
      <c r="BK52" s="1"/>
      <c r="BL52" s="1"/>
      <c r="BM52" s="1"/>
      <c r="BN52" s="1"/>
      <c r="BO52" s="1"/>
      <c r="BP52" s="1"/>
      <c r="BQ52" s="1"/>
      <c r="BR52" s="1"/>
      <c r="BS52" s="1"/>
      <c r="BT52" s="1"/>
    </row>
    <row r="53" spans="1:72" ht="33.6" customHeight="1" x14ac:dyDescent="0.25">
      <c r="A53" s="236" t="s">
        <v>58</v>
      </c>
      <c r="B53" s="237"/>
      <c r="C53" s="237"/>
      <c r="D53" s="237"/>
      <c r="E53" s="31" t="s">
        <v>57</v>
      </c>
      <c r="F53" s="146">
        <v>0</v>
      </c>
      <c r="G53" s="127">
        <v>60</v>
      </c>
      <c r="H53" s="127">
        <f t="shared" si="6"/>
        <v>0</v>
      </c>
      <c r="I53" s="30"/>
      <c r="J53" s="31"/>
      <c r="K53" s="31"/>
      <c r="L53" s="31"/>
      <c r="M53" s="31">
        <f t="shared" si="7"/>
        <v>0</v>
      </c>
      <c r="N53" s="16"/>
      <c r="O53" s="16"/>
      <c r="P53" s="16"/>
      <c r="Q53" s="16"/>
      <c r="R53" s="16"/>
      <c r="S53" s="16"/>
      <c r="T53" s="16"/>
      <c r="U53" s="16"/>
      <c r="V53" s="16"/>
      <c r="W53" s="16"/>
      <c r="X53" s="16"/>
      <c r="Y53" s="1"/>
      <c r="Z53" s="120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/>
      <c r="AX53" s="1"/>
      <c r="AY53" s="1"/>
      <c r="AZ53" s="1"/>
      <c r="BA53" s="1"/>
      <c r="BB53" s="1"/>
      <c r="BC53" s="1"/>
      <c r="BD53" s="1"/>
      <c r="BE53" s="1"/>
      <c r="BF53" s="1"/>
      <c r="BG53" s="1"/>
      <c r="BH53" s="1"/>
      <c r="BI53" s="1"/>
      <c r="BJ53" s="1"/>
      <c r="BK53" s="1"/>
      <c r="BL53" s="1"/>
      <c r="BM53" s="1"/>
      <c r="BN53" s="1"/>
      <c r="BO53" s="1"/>
      <c r="BP53" s="1"/>
      <c r="BQ53" s="1"/>
      <c r="BR53" s="1"/>
      <c r="BS53" s="1"/>
      <c r="BT53" s="1"/>
    </row>
    <row r="54" spans="1:72" ht="33.6" customHeight="1" x14ac:dyDescent="0.25">
      <c r="A54" s="236" t="s">
        <v>135</v>
      </c>
      <c r="B54" s="237"/>
      <c r="C54" s="237"/>
      <c r="D54" s="237"/>
      <c r="E54" s="31" t="s">
        <v>57</v>
      </c>
      <c r="F54" s="146">
        <v>0</v>
      </c>
      <c r="G54" s="127">
        <v>120</v>
      </c>
      <c r="H54" s="127">
        <f t="shared" si="6"/>
        <v>0</v>
      </c>
      <c r="I54" s="30"/>
      <c r="J54" s="31"/>
      <c r="K54" s="31"/>
      <c r="L54" s="31"/>
      <c r="M54" s="31">
        <f t="shared" si="7"/>
        <v>0</v>
      </c>
      <c r="N54" s="16"/>
      <c r="O54" s="16"/>
      <c r="P54" s="16"/>
      <c r="Q54" s="16"/>
      <c r="R54" s="16"/>
      <c r="S54" s="16"/>
      <c r="T54" s="16"/>
      <c r="U54" s="16"/>
      <c r="V54" s="16"/>
      <c r="W54" s="16"/>
      <c r="X54" s="16"/>
      <c r="Y54" s="1"/>
      <c r="Z54" s="120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1"/>
      <c r="AX54" s="1"/>
      <c r="AY54" s="1"/>
      <c r="AZ54" s="1"/>
      <c r="BA54" s="1"/>
      <c r="BB54" s="1"/>
      <c r="BC54" s="1"/>
      <c r="BD54" s="1"/>
      <c r="BE54" s="1"/>
      <c r="BF54" s="1"/>
      <c r="BG54" s="1"/>
      <c r="BH54" s="1"/>
      <c r="BI54" s="1"/>
      <c r="BJ54" s="1"/>
      <c r="BK54" s="1"/>
      <c r="BL54" s="1"/>
      <c r="BM54" s="1"/>
      <c r="BN54" s="1"/>
      <c r="BO54" s="1"/>
      <c r="BP54" s="1"/>
      <c r="BQ54" s="1"/>
      <c r="BR54" s="1"/>
      <c r="BS54" s="1"/>
      <c r="BT54" s="1"/>
    </row>
    <row r="55" spans="1:72" ht="33.6" customHeight="1" x14ac:dyDescent="0.25">
      <c r="A55" s="236" t="s">
        <v>184</v>
      </c>
      <c r="B55" s="237"/>
      <c r="C55" s="237"/>
      <c r="D55" s="237"/>
      <c r="E55" s="31" t="s">
        <v>57</v>
      </c>
      <c r="F55" s="146">
        <v>5</v>
      </c>
      <c r="G55" s="127">
        <v>500</v>
      </c>
      <c r="H55" s="127">
        <f t="shared" si="6"/>
        <v>2500</v>
      </c>
      <c r="I55" s="30"/>
      <c r="J55" s="31"/>
      <c r="K55" s="31"/>
      <c r="L55" s="31"/>
      <c r="M55" s="31">
        <f t="shared" si="7"/>
        <v>0</v>
      </c>
      <c r="N55" s="16"/>
      <c r="O55" s="16"/>
      <c r="P55" s="16"/>
      <c r="Q55" s="16"/>
      <c r="R55" s="16"/>
      <c r="S55" s="16"/>
      <c r="T55" s="16"/>
      <c r="U55" s="16"/>
      <c r="V55" s="16"/>
      <c r="W55" s="16"/>
      <c r="X55" s="16"/>
      <c r="Y55" s="1"/>
      <c r="Z55" s="120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  <c r="AW55" s="1"/>
      <c r="AX55" s="1"/>
      <c r="AY55" s="1"/>
      <c r="AZ55" s="1"/>
      <c r="BA55" s="1"/>
      <c r="BB55" s="1"/>
      <c r="BC55" s="1"/>
      <c r="BD55" s="1"/>
      <c r="BE55" s="1"/>
      <c r="BF55" s="1"/>
      <c r="BG55" s="1"/>
      <c r="BH55" s="1"/>
      <c r="BI55" s="1"/>
      <c r="BJ55" s="1"/>
      <c r="BK55" s="1"/>
      <c r="BL55" s="1"/>
      <c r="BM55" s="1"/>
      <c r="BN55" s="1"/>
      <c r="BO55" s="1"/>
      <c r="BP55" s="1"/>
      <c r="BQ55" s="1"/>
      <c r="BR55" s="1"/>
      <c r="BS55" s="1"/>
      <c r="BT55" s="1"/>
    </row>
    <row r="56" spans="1:72" ht="33.6" customHeight="1" x14ac:dyDescent="0.25">
      <c r="A56" s="236"/>
      <c r="B56" s="237"/>
      <c r="C56" s="237"/>
      <c r="D56" s="237"/>
      <c r="E56" s="31" t="s">
        <v>59</v>
      </c>
      <c r="F56" s="146">
        <v>0</v>
      </c>
      <c r="G56" s="127"/>
      <c r="H56" s="127">
        <f t="shared" si="6"/>
        <v>0</v>
      </c>
      <c r="I56" s="30"/>
      <c r="J56" s="31"/>
      <c r="K56" s="31"/>
      <c r="L56" s="31"/>
      <c r="M56" s="31">
        <f t="shared" si="7"/>
        <v>0</v>
      </c>
      <c r="N56" s="16"/>
      <c r="O56" s="16"/>
      <c r="P56" s="16"/>
      <c r="Q56" s="16"/>
      <c r="R56" s="16"/>
      <c r="S56" s="16"/>
      <c r="T56" s="16"/>
      <c r="U56" s="16"/>
      <c r="V56" s="16"/>
      <c r="W56" s="16"/>
      <c r="X56" s="16"/>
      <c r="Y56" s="1"/>
      <c r="Z56" s="120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  <c r="AX56" s="1"/>
      <c r="AY56" s="1"/>
      <c r="AZ56" s="1"/>
      <c r="BA56" s="1"/>
      <c r="BB56" s="1"/>
      <c r="BC56" s="1"/>
      <c r="BD56" s="1"/>
      <c r="BE56" s="1"/>
      <c r="BF56" s="1"/>
      <c r="BG56" s="1"/>
      <c r="BH56" s="1"/>
      <c r="BI56" s="1"/>
      <c r="BJ56" s="1"/>
      <c r="BK56" s="1"/>
      <c r="BL56" s="1"/>
      <c r="BM56" s="1"/>
      <c r="BN56" s="1"/>
      <c r="BO56" s="1"/>
      <c r="BP56" s="1"/>
      <c r="BQ56" s="1"/>
      <c r="BR56" s="1"/>
      <c r="BS56" s="1"/>
      <c r="BT56" s="1"/>
    </row>
    <row r="57" spans="1:72" ht="33.6" customHeight="1" x14ac:dyDescent="0.25">
      <c r="A57" s="236" t="s">
        <v>60</v>
      </c>
      <c r="B57" s="237"/>
      <c r="C57" s="237"/>
      <c r="D57" s="237"/>
      <c r="E57" s="31" t="s">
        <v>61</v>
      </c>
      <c r="F57" s="146">
        <v>0</v>
      </c>
      <c r="G57" s="127">
        <v>2.5</v>
      </c>
      <c r="H57" s="127">
        <f t="shared" si="6"/>
        <v>0</v>
      </c>
      <c r="I57" s="30"/>
      <c r="J57" s="31"/>
      <c r="K57" s="31"/>
      <c r="L57" s="31"/>
      <c r="M57" s="31">
        <f t="shared" si="7"/>
        <v>0</v>
      </c>
      <c r="N57" s="16"/>
      <c r="O57" s="16"/>
      <c r="P57" s="16"/>
      <c r="Q57" s="16"/>
      <c r="R57" s="16"/>
      <c r="S57" s="16"/>
      <c r="T57" s="16"/>
      <c r="U57" s="16"/>
      <c r="V57" s="16"/>
      <c r="W57" s="16"/>
      <c r="X57" s="16"/>
      <c r="Y57" s="1"/>
      <c r="Z57" s="120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  <c r="AX57" s="1"/>
      <c r="AY57" s="1"/>
      <c r="AZ57" s="1"/>
      <c r="BA57" s="1"/>
      <c r="BB57" s="1"/>
      <c r="BC57" s="1"/>
      <c r="BD57" s="1"/>
      <c r="BE57" s="1"/>
      <c r="BF57" s="1"/>
      <c r="BG57" s="1"/>
      <c r="BH57" s="1"/>
      <c r="BI57" s="1"/>
      <c r="BJ57" s="1"/>
      <c r="BK57" s="1"/>
      <c r="BL57" s="1"/>
      <c r="BM57" s="1"/>
      <c r="BN57" s="1"/>
      <c r="BO57" s="1"/>
      <c r="BP57" s="1"/>
      <c r="BQ57" s="1"/>
      <c r="BR57" s="1"/>
      <c r="BS57" s="1"/>
      <c r="BT57" s="1"/>
    </row>
    <row r="58" spans="1:72" ht="15.75" x14ac:dyDescent="0.25">
      <c r="A58" s="16"/>
      <c r="B58" s="16"/>
      <c r="C58" s="16"/>
      <c r="D58" s="16"/>
      <c r="E58" s="16"/>
      <c r="F58" s="16"/>
      <c r="G58" s="34" t="s">
        <v>62</v>
      </c>
      <c r="H58" s="34">
        <f>SUM(H51:H57)</f>
        <v>2500</v>
      </c>
      <c r="I58" s="22"/>
      <c r="J58" s="16"/>
      <c r="K58" s="16"/>
      <c r="L58" s="16"/>
      <c r="M58" s="139"/>
      <c r="N58" s="16"/>
      <c r="O58" s="16"/>
      <c r="P58" s="16"/>
      <c r="Q58" s="16"/>
      <c r="R58" s="16"/>
      <c r="S58" s="16"/>
      <c r="T58" s="16"/>
      <c r="U58" s="16"/>
      <c r="V58" s="16"/>
      <c r="W58" s="16"/>
      <c r="X58" s="16"/>
      <c r="Y58" s="1"/>
      <c r="Z58" s="120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  <c r="AX58" s="1"/>
      <c r="AY58" s="1"/>
      <c r="AZ58" s="1"/>
      <c r="BA58" s="1"/>
      <c r="BB58" s="1"/>
      <c r="BC58" s="1"/>
      <c r="BD58" s="1"/>
      <c r="BE58" s="1"/>
      <c r="BF58" s="1"/>
      <c r="BG58" s="1"/>
      <c r="BH58" s="1"/>
      <c r="BI58" s="1"/>
      <c r="BJ58" s="1"/>
      <c r="BK58" s="1"/>
      <c r="BL58" s="1"/>
      <c r="BM58" s="1"/>
      <c r="BN58" s="1"/>
      <c r="BO58" s="1"/>
      <c r="BP58" s="1"/>
      <c r="BQ58" s="1"/>
      <c r="BR58" s="1"/>
      <c r="BS58" s="1"/>
      <c r="BT58" s="1"/>
    </row>
    <row r="59" spans="1:72" ht="15.75" x14ac:dyDescent="0.25">
      <c r="A59" s="16"/>
      <c r="B59" s="16"/>
      <c r="C59" s="16"/>
      <c r="D59" s="16"/>
      <c r="E59" s="16"/>
      <c r="F59" s="16"/>
      <c r="G59" s="118" t="s">
        <v>82</v>
      </c>
      <c r="H59" s="34">
        <f>H58+H45+H17</f>
        <v>4749.04</v>
      </c>
      <c r="I59" s="134"/>
      <c r="J59" s="62"/>
      <c r="K59" s="16"/>
      <c r="L59" s="16"/>
      <c r="M59" s="16"/>
      <c r="N59" s="16"/>
      <c r="O59" s="16"/>
      <c r="P59" s="16"/>
      <c r="Q59" s="16"/>
      <c r="R59" s="16"/>
      <c r="S59" s="16"/>
      <c r="T59" s="16"/>
      <c r="U59" s="16"/>
      <c r="V59" s="16"/>
      <c r="W59" s="16"/>
      <c r="X59" s="16"/>
      <c r="Y59" s="1"/>
      <c r="Z59" s="120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  <c r="AX59" s="1"/>
      <c r="AY59" s="1"/>
      <c r="AZ59" s="1"/>
      <c r="BA59" s="1"/>
      <c r="BB59" s="1"/>
      <c r="BC59" s="1"/>
      <c r="BD59" s="1"/>
      <c r="BE59" s="1"/>
      <c r="BF59" s="1"/>
      <c r="BG59" s="1"/>
      <c r="BH59" s="1"/>
      <c r="BI59" s="1"/>
      <c r="BJ59" s="1"/>
      <c r="BK59" s="1"/>
      <c r="BL59" s="1"/>
      <c r="BM59" s="1"/>
      <c r="BN59" s="1"/>
      <c r="BO59" s="1"/>
      <c r="BP59" s="1"/>
      <c r="BQ59" s="1"/>
      <c r="BR59" s="1"/>
      <c r="BS59" s="1"/>
      <c r="BT59" s="1"/>
    </row>
    <row r="60" spans="1:72" ht="15.75" x14ac:dyDescent="0.25">
      <c r="A60" s="3" t="s">
        <v>83</v>
      </c>
      <c r="B60" s="7"/>
      <c r="C60" s="7"/>
      <c r="D60" s="16"/>
      <c r="E60" s="16"/>
      <c r="F60" s="16"/>
      <c r="G60" s="1"/>
      <c r="H60" s="42"/>
      <c r="I60" s="9"/>
      <c r="J60" s="62"/>
      <c r="K60" s="7"/>
      <c r="L60" s="16"/>
      <c r="M60" s="16"/>
      <c r="N60" s="16"/>
      <c r="O60" s="16"/>
      <c r="P60" s="16"/>
      <c r="Q60" s="16"/>
      <c r="R60" s="16"/>
      <c r="S60" s="16"/>
      <c r="T60" s="16"/>
      <c r="U60" s="16"/>
      <c r="V60" s="16"/>
      <c r="W60" s="16"/>
      <c r="X60" s="16"/>
      <c r="Y60" s="1"/>
      <c r="Z60" s="120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  <c r="AX60" s="1"/>
      <c r="AY60" s="1"/>
      <c r="AZ60" s="1"/>
      <c r="BA60" s="1"/>
      <c r="BB60" s="1"/>
      <c r="BC60" s="1"/>
      <c r="BD60" s="1"/>
      <c r="BE60" s="1"/>
      <c r="BF60" s="1"/>
      <c r="BG60" s="1"/>
      <c r="BH60" s="1"/>
      <c r="BI60" s="1"/>
      <c r="BJ60" s="1"/>
      <c r="BK60" s="1"/>
      <c r="BL60" s="1"/>
      <c r="BM60" s="1"/>
      <c r="BN60" s="1"/>
      <c r="BO60" s="1"/>
      <c r="BP60" s="1"/>
      <c r="BQ60" s="1"/>
      <c r="BR60" s="1"/>
      <c r="BS60" s="1"/>
      <c r="BT60" s="1"/>
    </row>
    <row r="61" spans="1:72" ht="15.75" x14ac:dyDescent="0.25">
      <c r="A61" s="246" t="s">
        <v>7</v>
      </c>
      <c r="B61" s="246"/>
      <c r="C61" s="246"/>
      <c r="D61" s="246"/>
      <c r="E61" s="43" t="s">
        <v>8</v>
      </c>
      <c r="F61" s="119" t="s">
        <v>9</v>
      </c>
      <c r="G61" s="119" t="s">
        <v>10</v>
      </c>
      <c r="H61" s="44" t="s">
        <v>0</v>
      </c>
      <c r="I61" s="45" t="s">
        <v>84</v>
      </c>
      <c r="J61" s="46"/>
      <c r="K61" s="46" t="s">
        <v>85</v>
      </c>
      <c r="L61" s="47"/>
      <c r="M61" s="16"/>
      <c r="N61" s="16"/>
      <c r="O61" s="16"/>
      <c r="P61" s="16"/>
      <c r="Q61" s="16"/>
      <c r="R61" s="16"/>
      <c r="S61" s="16"/>
      <c r="T61" s="16"/>
      <c r="U61" s="16"/>
      <c r="V61" s="16"/>
      <c r="W61" s="16"/>
      <c r="X61" s="16"/>
      <c r="Y61" s="1"/>
      <c r="Z61" s="120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  <c r="AX61" s="1"/>
      <c r="AY61" s="1"/>
      <c r="AZ61" s="1"/>
      <c r="BA61" s="1"/>
      <c r="BB61" s="1"/>
      <c r="BC61" s="1"/>
      <c r="BD61" s="1"/>
      <c r="BE61" s="1"/>
      <c r="BF61" s="1"/>
      <c r="BG61" s="1"/>
      <c r="BH61" s="1"/>
      <c r="BI61" s="1"/>
      <c r="BJ61" s="1"/>
      <c r="BK61" s="1"/>
      <c r="BL61" s="1"/>
      <c r="BM61" s="1"/>
      <c r="BN61" s="1"/>
      <c r="BO61" s="1"/>
      <c r="BP61" s="1"/>
      <c r="BQ61" s="1"/>
      <c r="BR61" s="1"/>
      <c r="BS61" s="1"/>
      <c r="BT61" s="1"/>
    </row>
    <row r="62" spans="1:72" ht="15.75" x14ac:dyDescent="0.25">
      <c r="A62" s="241" t="s">
        <v>86</v>
      </c>
      <c r="B62" s="242"/>
      <c r="C62" s="242"/>
      <c r="D62" s="242"/>
      <c r="E62" s="123" t="s">
        <v>87</v>
      </c>
      <c r="F62" s="128"/>
      <c r="G62" s="36">
        <v>2200</v>
      </c>
      <c r="H62" s="48">
        <f>(F62*G62)</f>
        <v>0</v>
      </c>
      <c r="I62" s="49"/>
      <c r="J62" s="50"/>
      <c r="K62" s="51"/>
      <c r="L62" s="62"/>
      <c r="M62" s="16"/>
      <c r="N62" s="16"/>
      <c r="O62" s="16"/>
      <c r="P62" s="16"/>
      <c r="Q62" s="16"/>
      <c r="R62" s="16"/>
      <c r="S62" s="16"/>
      <c r="T62" s="16"/>
      <c r="U62" s="16"/>
      <c r="V62" s="16"/>
      <c r="W62" s="16"/>
      <c r="X62" s="16"/>
      <c r="Y62" s="1"/>
      <c r="Z62" s="120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  <c r="AY62" s="1"/>
      <c r="AZ62" s="1"/>
      <c r="BA62" s="1"/>
      <c r="BB62" s="1"/>
      <c r="BC62" s="1"/>
      <c r="BD62" s="1"/>
      <c r="BE62" s="1"/>
      <c r="BF62" s="1"/>
      <c r="BG62" s="1"/>
      <c r="BH62" s="1"/>
      <c r="BI62" s="1"/>
      <c r="BJ62" s="1"/>
      <c r="BK62" s="1"/>
      <c r="BL62" s="1"/>
      <c r="BM62" s="1"/>
      <c r="BN62" s="1"/>
      <c r="BO62" s="1"/>
      <c r="BP62" s="1"/>
      <c r="BQ62" s="1"/>
      <c r="BR62" s="1"/>
      <c r="BS62" s="1"/>
      <c r="BT62" s="1"/>
    </row>
    <row r="63" spans="1:72" ht="15.75" x14ac:dyDescent="0.25">
      <c r="A63" s="241" t="s">
        <v>88</v>
      </c>
      <c r="B63" s="242"/>
      <c r="C63" s="242"/>
      <c r="D63" s="242"/>
      <c r="E63" s="123" t="s">
        <v>87</v>
      </c>
      <c r="F63" s="128"/>
      <c r="G63" s="36">
        <v>2000</v>
      </c>
      <c r="H63" s="48">
        <f t="shared" ref="H63:H84" si="8">(F63*G63)</f>
        <v>0</v>
      </c>
      <c r="I63" s="49"/>
      <c r="J63" s="50"/>
      <c r="K63" s="51"/>
      <c r="L63" s="62"/>
      <c r="M63" s="16"/>
      <c r="N63" s="16"/>
      <c r="O63" s="16"/>
      <c r="P63" s="16"/>
      <c r="Q63" s="16"/>
      <c r="R63" s="16"/>
      <c r="S63" s="16"/>
      <c r="T63" s="16"/>
      <c r="U63" s="16"/>
      <c r="V63" s="16"/>
      <c r="W63" s="16"/>
      <c r="X63" s="16"/>
      <c r="Y63" s="1"/>
      <c r="Z63" s="120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  <c r="AY63" s="1"/>
      <c r="AZ63" s="1"/>
      <c r="BA63" s="1"/>
      <c r="BB63" s="1"/>
      <c r="BC63" s="1"/>
      <c r="BD63" s="1"/>
      <c r="BE63" s="1"/>
      <c r="BF63" s="1"/>
      <c r="BG63" s="1"/>
      <c r="BH63" s="1"/>
      <c r="BI63" s="1"/>
      <c r="BJ63" s="1"/>
      <c r="BK63" s="1"/>
      <c r="BL63" s="1"/>
      <c r="BM63" s="1"/>
      <c r="BN63" s="1"/>
      <c r="BO63" s="1"/>
      <c r="BP63" s="1"/>
      <c r="BQ63" s="1"/>
      <c r="BR63" s="1"/>
      <c r="BS63" s="1"/>
      <c r="BT63" s="1"/>
    </row>
    <row r="64" spans="1:72" ht="15.75" x14ac:dyDescent="0.25">
      <c r="A64" s="241" t="s">
        <v>89</v>
      </c>
      <c r="B64" s="242"/>
      <c r="C64" s="242"/>
      <c r="D64" s="242"/>
      <c r="E64" s="123" t="s">
        <v>87</v>
      </c>
      <c r="F64" s="128"/>
      <c r="G64" s="36">
        <v>7000</v>
      </c>
      <c r="H64" s="48">
        <f t="shared" si="8"/>
        <v>0</v>
      </c>
      <c r="I64" s="49"/>
      <c r="J64" s="50"/>
      <c r="K64" s="51"/>
      <c r="L64" s="62"/>
      <c r="M64" s="16"/>
      <c r="N64" s="16"/>
      <c r="O64" s="16"/>
      <c r="P64" s="16"/>
      <c r="Q64" s="16"/>
      <c r="R64" s="16"/>
      <c r="S64" s="16"/>
      <c r="T64" s="16"/>
      <c r="U64" s="16"/>
      <c r="V64" s="16"/>
      <c r="W64" s="16"/>
      <c r="X64" s="16"/>
      <c r="Y64" s="1"/>
      <c r="Z64" s="120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  <c r="AX64" s="1"/>
      <c r="AY64" s="1"/>
      <c r="AZ64" s="1"/>
      <c r="BA64" s="1"/>
      <c r="BB64" s="1"/>
      <c r="BC64" s="1"/>
      <c r="BD64" s="1"/>
      <c r="BE64" s="1"/>
      <c r="BF64" s="1"/>
      <c r="BG64" s="1"/>
      <c r="BH64" s="1"/>
      <c r="BI64" s="1"/>
      <c r="BJ64" s="1"/>
      <c r="BK64" s="1"/>
      <c r="BL64" s="1"/>
      <c r="BM64" s="1"/>
      <c r="BN64" s="1"/>
      <c r="BO64" s="1"/>
      <c r="BP64" s="1"/>
      <c r="BQ64" s="1"/>
      <c r="BR64" s="1"/>
      <c r="BS64" s="1"/>
      <c r="BT64" s="1"/>
    </row>
    <row r="65" spans="1:72" ht="15.75" x14ac:dyDescent="0.25">
      <c r="A65" s="241" t="s">
        <v>90</v>
      </c>
      <c r="B65" s="242"/>
      <c r="C65" s="242"/>
      <c r="D65" s="242"/>
      <c r="E65" s="123" t="s">
        <v>87</v>
      </c>
      <c r="F65" s="128"/>
      <c r="G65" s="36">
        <v>15200</v>
      </c>
      <c r="H65" s="48">
        <f t="shared" si="8"/>
        <v>0</v>
      </c>
      <c r="I65" s="49"/>
      <c r="J65" s="50"/>
      <c r="K65" s="51"/>
      <c r="L65" s="62"/>
      <c r="M65" s="16"/>
      <c r="N65" s="16"/>
      <c r="O65" s="16"/>
      <c r="P65" s="16"/>
      <c r="Q65" s="16"/>
      <c r="R65" s="16"/>
      <c r="S65" s="16"/>
      <c r="T65" s="16"/>
      <c r="U65" s="16"/>
      <c r="V65" s="16"/>
      <c r="W65" s="16"/>
      <c r="X65" s="16"/>
      <c r="Y65" s="1"/>
      <c r="Z65" s="120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  <c r="AX65" s="1"/>
      <c r="AY65" s="1"/>
      <c r="AZ65" s="1"/>
      <c r="BA65" s="1"/>
      <c r="BB65" s="1"/>
      <c r="BC65" s="1"/>
      <c r="BD65" s="1"/>
      <c r="BE65" s="1"/>
      <c r="BF65" s="1"/>
      <c r="BG65" s="1"/>
      <c r="BH65" s="1"/>
      <c r="BI65" s="1"/>
      <c r="BJ65" s="1"/>
      <c r="BK65" s="1"/>
      <c r="BL65" s="1"/>
      <c r="BM65" s="1"/>
      <c r="BN65" s="1"/>
      <c r="BO65" s="1"/>
      <c r="BP65" s="1"/>
      <c r="BQ65" s="1"/>
      <c r="BR65" s="1"/>
      <c r="BS65" s="1"/>
      <c r="BT65" s="1"/>
    </row>
    <row r="66" spans="1:72" ht="15.75" x14ac:dyDescent="0.25">
      <c r="A66" s="241" t="s">
        <v>91</v>
      </c>
      <c r="B66" s="242"/>
      <c r="C66" s="242"/>
      <c r="D66" s="242"/>
      <c r="E66" s="123" t="s">
        <v>87</v>
      </c>
      <c r="F66" s="128"/>
      <c r="G66" s="36">
        <v>2200</v>
      </c>
      <c r="H66" s="48">
        <f t="shared" si="8"/>
        <v>0</v>
      </c>
      <c r="I66" s="55"/>
      <c r="J66" s="50"/>
      <c r="K66" s="51"/>
      <c r="L66" s="62"/>
      <c r="M66" s="16"/>
      <c r="N66" s="16"/>
      <c r="O66" s="16"/>
      <c r="P66" s="16"/>
      <c r="Q66" s="16"/>
      <c r="R66" s="16"/>
      <c r="S66" s="16"/>
      <c r="T66" s="16"/>
      <c r="U66" s="16"/>
      <c r="V66" s="16"/>
      <c r="W66" s="16"/>
      <c r="X66" s="16"/>
      <c r="Y66" s="1"/>
      <c r="Z66" s="120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  <c r="AX66" s="1"/>
      <c r="AY66" s="1"/>
      <c r="AZ66" s="1"/>
      <c r="BA66" s="1"/>
      <c r="BB66" s="1"/>
      <c r="BC66" s="1"/>
      <c r="BD66" s="1"/>
      <c r="BE66" s="1"/>
      <c r="BF66" s="1"/>
      <c r="BG66" s="1"/>
      <c r="BH66" s="1"/>
      <c r="BI66" s="1"/>
      <c r="BJ66" s="1"/>
      <c r="BK66" s="1"/>
      <c r="BL66" s="1"/>
      <c r="BM66" s="1"/>
      <c r="BN66" s="1"/>
      <c r="BO66" s="1"/>
      <c r="BP66" s="1"/>
      <c r="BQ66" s="1"/>
      <c r="BR66" s="1"/>
      <c r="BS66" s="1"/>
      <c r="BT66" s="1"/>
    </row>
    <row r="67" spans="1:72" ht="15.75" x14ac:dyDescent="0.25">
      <c r="A67" s="241" t="s">
        <v>92</v>
      </c>
      <c r="B67" s="242"/>
      <c r="C67" s="242"/>
      <c r="D67" s="242"/>
      <c r="E67" s="123" t="s">
        <v>87</v>
      </c>
      <c r="F67" s="128"/>
      <c r="G67" s="36">
        <v>2000</v>
      </c>
      <c r="H67" s="48">
        <f t="shared" si="8"/>
        <v>0</v>
      </c>
      <c r="I67" s="49"/>
      <c r="J67" s="50"/>
      <c r="K67" s="51"/>
      <c r="L67" s="62"/>
      <c r="M67" s="16"/>
      <c r="N67" s="16"/>
      <c r="O67" s="16"/>
      <c r="P67" s="16"/>
      <c r="Q67" s="16"/>
      <c r="R67" s="16"/>
      <c r="S67" s="16"/>
      <c r="T67" s="16"/>
      <c r="U67" s="16"/>
      <c r="V67" s="16"/>
      <c r="W67" s="16"/>
      <c r="X67" s="16"/>
      <c r="Y67" s="1"/>
      <c r="Z67" s="120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  <c r="AX67" s="1"/>
      <c r="AY67" s="1"/>
      <c r="AZ67" s="1"/>
      <c r="BA67" s="1"/>
      <c r="BB67" s="1"/>
      <c r="BC67" s="1"/>
      <c r="BD67" s="1"/>
      <c r="BE67" s="1"/>
      <c r="BF67" s="1"/>
      <c r="BG67" s="1"/>
      <c r="BH67" s="1"/>
      <c r="BI67" s="1"/>
      <c r="BJ67" s="1"/>
      <c r="BK67" s="1"/>
      <c r="BL67" s="1"/>
      <c r="BM67" s="1"/>
      <c r="BN67" s="1"/>
      <c r="BO67" s="1"/>
      <c r="BP67" s="1"/>
      <c r="BQ67" s="1"/>
      <c r="BR67" s="1"/>
      <c r="BS67" s="1"/>
      <c r="BT67" s="1"/>
    </row>
    <row r="68" spans="1:72" ht="15.75" x14ac:dyDescent="0.25">
      <c r="A68" s="241" t="s">
        <v>93</v>
      </c>
      <c r="B68" s="242"/>
      <c r="C68" s="242"/>
      <c r="D68" s="242"/>
      <c r="E68" s="123" t="s">
        <v>87</v>
      </c>
      <c r="F68" s="128"/>
      <c r="G68" s="36">
        <v>2500</v>
      </c>
      <c r="H68" s="48">
        <f t="shared" si="8"/>
        <v>0</v>
      </c>
      <c r="I68" s="55"/>
      <c r="J68" s="50"/>
      <c r="K68" s="51"/>
      <c r="L68" s="62"/>
      <c r="M68" s="16"/>
      <c r="N68" s="16"/>
      <c r="O68" s="16"/>
      <c r="P68" s="16"/>
      <c r="Q68" s="16"/>
      <c r="R68" s="16"/>
      <c r="S68" s="16"/>
      <c r="T68" s="16"/>
      <c r="U68" s="16"/>
      <c r="V68" s="16"/>
      <c r="W68" s="16"/>
      <c r="X68" s="16"/>
      <c r="Y68" s="1"/>
      <c r="Z68" s="120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  <c r="AX68" s="1"/>
      <c r="AY68" s="1"/>
      <c r="AZ68" s="1"/>
      <c r="BA68" s="1"/>
      <c r="BB68" s="1"/>
      <c r="BC68" s="1"/>
      <c r="BD68" s="1"/>
      <c r="BE68" s="1"/>
      <c r="BF68" s="1"/>
      <c r="BG68" s="1"/>
      <c r="BH68" s="1"/>
      <c r="BI68" s="1"/>
      <c r="BJ68" s="1"/>
      <c r="BK68" s="1"/>
      <c r="BL68" s="1"/>
      <c r="BM68" s="1"/>
      <c r="BN68" s="1"/>
      <c r="BO68" s="1"/>
      <c r="BP68" s="1"/>
      <c r="BQ68" s="1"/>
      <c r="BR68" s="1"/>
      <c r="BS68" s="1"/>
      <c r="BT68" s="1"/>
    </row>
    <row r="69" spans="1:72" ht="15.75" x14ac:dyDescent="0.25">
      <c r="A69" s="241" t="s">
        <v>94</v>
      </c>
      <c r="B69" s="242"/>
      <c r="C69" s="242"/>
      <c r="D69" s="242"/>
      <c r="E69" s="123" t="s">
        <v>87</v>
      </c>
      <c r="F69" s="128"/>
      <c r="G69" s="36">
        <v>1600</v>
      </c>
      <c r="H69" s="48">
        <f t="shared" si="8"/>
        <v>0</v>
      </c>
      <c r="I69" s="49"/>
      <c r="J69" s="50"/>
      <c r="K69" s="51"/>
      <c r="L69" s="62"/>
      <c r="M69" s="16"/>
      <c r="N69" s="16"/>
      <c r="O69" s="16"/>
      <c r="P69" s="16"/>
      <c r="Q69" s="16"/>
      <c r="R69" s="16"/>
      <c r="S69" s="16"/>
      <c r="T69" s="16"/>
      <c r="U69" s="16"/>
      <c r="V69" s="16"/>
      <c r="W69" s="16"/>
      <c r="X69" s="16"/>
      <c r="Y69" s="1"/>
      <c r="Z69" s="120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  <c r="AX69" s="1"/>
      <c r="AY69" s="1"/>
      <c r="AZ69" s="1"/>
      <c r="BA69" s="1"/>
      <c r="BB69" s="1"/>
      <c r="BC69" s="1"/>
      <c r="BD69" s="1"/>
      <c r="BE69" s="1"/>
      <c r="BF69" s="1"/>
      <c r="BG69" s="1"/>
      <c r="BH69" s="1"/>
      <c r="BI69" s="1"/>
      <c r="BJ69" s="1"/>
      <c r="BK69" s="1"/>
      <c r="BL69" s="1"/>
      <c r="BM69" s="1"/>
      <c r="BN69" s="1"/>
      <c r="BO69" s="1"/>
      <c r="BP69" s="1"/>
      <c r="BQ69" s="1"/>
      <c r="BR69" s="1"/>
      <c r="BS69" s="1"/>
      <c r="BT69" s="1"/>
    </row>
    <row r="70" spans="1:72" ht="15.75" x14ac:dyDescent="0.25">
      <c r="A70" s="241" t="s">
        <v>95</v>
      </c>
      <c r="B70" s="242"/>
      <c r="C70" s="242"/>
      <c r="D70" s="242"/>
      <c r="E70" s="123" t="s">
        <v>87</v>
      </c>
      <c r="F70" s="128"/>
      <c r="G70" s="36">
        <v>1100</v>
      </c>
      <c r="H70" s="48">
        <f t="shared" si="8"/>
        <v>0</v>
      </c>
      <c r="I70" s="49"/>
      <c r="J70" s="50"/>
      <c r="K70" s="51"/>
      <c r="L70" s="62"/>
      <c r="M70" s="16"/>
      <c r="N70" s="16"/>
      <c r="O70" s="16"/>
      <c r="P70" s="16"/>
      <c r="Q70" s="16"/>
      <c r="R70" s="16"/>
      <c r="S70" s="16"/>
      <c r="T70" s="16"/>
      <c r="U70" s="16"/>
      <c r="V70" s="16"/>
      <c r="W70" s="16"/>
      <c r="X70" s="16"/>
      <c r="Y70" s="1"/>
      <c r="Z70" s="120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  <c r="AW70" s="1"/>
      <c r="AX70" s="1"/>
      <c r="AY70" s="1"/>
      <c r="AZ70" s="1"/>
      <c r="BA70" s="1"/>
      <c r="BB70" s="1"/>
      <c r="BC70" s="1"/>
      <c r="BD70" s="1"/>
      <c r="BE70" s="1"/>
      <c r="BF70" s="1"/>
      <c r="BG70" s="1"/>
      <c r="BH70" s="1"/>
      <c r="BI70" s="1"/>
      <c r="BJ70" s="1"/>
      <c r="BK70" s="1"/>
      <c r="BL70" s="1"/>
      <c r="BM70" s="1"/>
      <c r="BN70" s="1"/>
      <c r="BO70" s="1"/>
      <c r="BP70" s="1"/>
      <c r="BQ70" s="1"/>
      <c r="BR70" s="1"/>
      <c r="BS70" s="1"/>
      <c r="BT70" s="1"/>
    </row>
    <row r="71" spans="1:72" ht="15.75" x14ac:dyDescent="0.25">
      <c r="A71" s="241" t="s">
        <v>96</v>
      </c>
      <c r="B71" s="242"/>
      <c r="C71" s="242"/>
      <c r="D71" s="242"/>
      <c r="E71" s="123" t="s">
        <v>87</v>
      </c>
      <c r="F71" s="128"/>
      <c r="G71" s="36">
        <v>2700</v>
      </c>
      <c r="H71" s="48">
        <f t="shared" si="8"/>
        <v>0</v>
      </c>
      <c r="I71" s="59"/>
      <c r="J71" s="50"/>
      <c r="K71" s="51"/>
      <c r="L71" s="62"/>
      <c r="M71" s="16"/>
      <c r="N71" s="16"/>
      <c r="O71" s="16"/>
      <c r="P71" s="16"/>
      <c r="Q71" s="16"/>
      <c r="R71" s="16"/>
      <c r="S71" s="16"/>
      <c r="T71" s="16"/>
      <c r="U71" s="16"/>
      <c r="V71" s="16"/>
      <c r="W71" s="16"/>
      <c r="X71" s="16"/>
      <c r="Y71" s="1"/>
      <c r="Z71" s="120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  <c r="AW71" s="1"/>
      <c r="AX71" s="1"/>
      <c r="AY71" s="1"/>
      <c r="AZ71" s="1"/>
      <c r="BA71" s="1"/>
      <c r="BB71" s="1"/>
      <c r="BC71" s="1"/>
      <c r="BD71" s="1"/>
      <c r="BE71" s="1"/>
      <c r="BF71" s="1"/>
      <c r="BG71" s="1"/>
      <c r="BH71" s="1"/>
      <c r="BI71" s="1"/>
      <c r="BJ71" s="1"/>
      <c r="BK71" s="1"/>
      <c r="BL71" s="1"/>
      <c r="BM71" s="1"/>
      <c r="BN71" s="1"/>
      <c r="BO71" s="1"/>
      <c r="BP71" s="1"/>
      <c r="BQ71" s="1"/>
      <c r="BR71" s="1"/>
      <c r="BS71" s="1"/>
      <c r="BT71" s="1"/>
    </row>
    <row r="72" spans="1:72" ht="15.75" x14ac:dyDescent="0.25">
      <c r="A72" s="241" t="s">
        <v>97</v>
      </c>
      <c r="B72" s="242"/>
      <c r="C72" s="242"/>
      <c r="D72" s="242"/>
      <c r="E72" s="123" t="s">
        <v>87</v>
      </c>
      <c r="F72" s="128"/>
      <c r="G72" s="36">
        <v>2500</v>
      </c>
      <c r="H72" s="48">
        <f t="shared" si="8"/>
        <v>0</v>
      </c>
      <c r="I72" s="59"/>
      <c r="J72" s="50"/>
      <c r="K72" s="51"/>
      <c r="L72" s="62"/>
      <c r="M72" s="16"/>
      <c r="N72" s="16"/>
      <c r="O72" s="16"/>
      <c r="P72" s="16"/>
      <c r="Q72" s="16"/>
      <c r="R72" s="16"/>
      <c r="S72" s="16"/>
      <c r="T72" s="16"/>
      <c r="U72" s="16"/>
      <c r="V72" s="16"/>
      <c r="W72" s="16"/>
      <c r="X72" s="16"/>
      <c r="Y72" s="1"/>
      <c r="Z72" s="120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  <c r="AW72" s="1"/>
      <c r="AX72" s="1"/>
      <c r="AY72" s="1"/>
      <c r="AZ72" s="1"/>
      <c r="BA72" s="1"/>
      <c r="BB72" s="1"/>
      <c r="BC72" s="1"/>
      <c r="BD72" s="1"/>
      <c r="BE72" s="1"/>
      <c r="BF72" s="1"/>
      <c r="BG72" s="1"/>
      <c r="BH72" s="1"/>
      <c r="BI72" s="1"/>
      <c r="BJ72" s="1"/>
      <c r="BK72" s="1"/>
      <c r="BL72" s="1"/>
      <c r="BM72" s="1"/>
      <c r="BN72" s="1"/>
      <c r="BO72" s="1"/>
      <c r="BP72" s="1"/>
      <c r="BQ72" s="1"/>
      <c r="BR72" s="1"/>
      <c r="BS72" s="1"/>
      <c r="BT72" s="1"/>
    </row>
    <row r="73" spans="1:72" ht="15.75" x14ac:dyDescent="0.25">
      <c r="A73" s="241" t="s">
        <v>98</v>
      </c>
      <c r="B73" s="242"/>
      <c r="C73" s="242"/>
      <c r="D73" s="242"/>
      <c r="E73" s="123" t="s">
        <v>87</v>
      </c>
      <c r="F73" s="128"/>
      <c r="G73" s="36">
        <v>13373</v>
      </c>
      <c r="H73" s="48">
        <f t="shared" si="8"/>
        <v>0</v>
      </c>
      <c r="I73" s="59"/>
      <c r="J73" s="50"/>
      <c r="K73" s="51"/>
      <c r="L73" s="62"/>
      <c r="M73" s="16"/>
      <c r="N73" s="16"/>
      <c r="O73" s="16"/>
      <c r="P73" s="16"/>
      <c r="Q73" s="16"/>
      <c r="R73" s="16"/>
      <c r="S73" s="16"/>
      <c r="T73" s="16"/>
      <c r="U73" s="16"/>
      <c r="V73" s="16"/>
      <c r="W73" s="16"/>
      <c r="X73" s="16"/>
      <c r="Y73" s="1"/>
      <c r="Z73" s="120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  <c r="AW73" s="1"/>
      <c r="AX73" s="1"/>
      <c r="AY73" s="1"/>
      <c r="AZ73" s="1"/>
      <c r="BA73" s="1"/>
      <c r="BB73" s="1"/>
      <c r="BC73" s="1"/>
      <c r="BD73" s="1"/>
      <c r="BE73" s="1"/>
      <c r="BF73" s="1"/>
      <c r="BG73" s="1"/>
      <c r="BH73" s="1"/>
      <c r="BI73" s="1"/>
      <c r="BJ73" s="1"/>
      <c r="BK73" s="1"/>
      <c r="BL73" s="1"/>
      <c r="BM73" s="1"/>
      <c r="BN73" s="1"/>
      <c r="BO73" s="1"/>
      <c r="BP73" s="1"/>
      <c r="BQ73" s="1"/>
      <c r="BR73" s="1"/>
      <c r="BS73" s="1"/>
      <c r="BT73" s="1"/>
    </row>
    <row r="74" spans="1:72" ht="15.75" x14ac:dyDescent="0.25">
      <c r="A74" s="241" t="s">
        <v>99</v>
      </c>
      <c r="B74" s="242"/>
      <c r="C74" s="242"/>
      <c r="D74" s="242"/>
      <c r="E74" s="123" t="s">
        <v>87</v>
      </c>
      <c r="F74" s="128"/>
      <c r="G74" s="36">
        <v>800</v>
      </c>
      <c r="H74" s="48">
        <f t="shared" si="8"/>
        <v>0</v>
      </c>
      <c r="I74" s="59"/>
      <c r="J74" s="50"/>
      <c r="K74" s="51"/>
      <c r="L74" s="62"/>
      <c r="M74" s="16"/>
      <c r="N74" s="16"/>
      <c r="O74" s="16"/>
      <c r="P74" s="16"/>
      <c r="Q74" s="16"/>
      <c r="R74" s="16"/>
      <c r="S74" s="16"/>
      <c r="T74" s="16"/>
      <c r="U74" s="16"/>
      <c r="V74" s="16"/>
      <c r="W74" s="16"/>
      <c r="X74" s="16"/>
      <c r="Y74" s="1"/>
      <c r="Z74" s="120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  <c r="AV74" s="1"/>
      <c r="AW74" s="1"/>
      <c r="AX74" s="1"/>
      <c r="AY74" s="1"/>
      <c r="AZ74" s="1"/>
      <c r="BA74" s="1"/>
      <c r="BB74" s="1"/>
      <c r="BC74" s="1"/>
      <c r="BD74" s="1"/>
      <c r="BE74" s="1"/>
      <c r="BF74" s="1"/>
      <c r="BG74" s="1"/>
      <c r="BH74" s="1"/>
      <c r="BI74" s="1"/>
      <c r="BJ74" s="1"/>
      <c r="BK74" s="1"/>
      <c r="BL74" s="1"/>
      <c r="BM74" s="1"/>
      <c r="BN74" s="1"/>
      <c r="BO74" s="1"/>
      <c r="BP74" s="1"/>
      <c r="BQ74" s="1"/>
      <c r="BR74" s="1"/>
      <c r="BS74" s="1"/>
      <c r="BT74" s="1"/>
    </row>
    <row r="75" spans="1:72" ht="15.75" x14ac:dyDescent="0.25">
      <c r="A75" s="241" t="s">
        <v>156</v>
      </c>
      <c r="B75" s="242"/>
      <c r="C75" s="242"/>
      <c r="D75" s="242"/>
      <c r="E75" s="4" t="s">
        <v>87</v>
      </c>
      <c r="F75" s="128"/>
      <c r="G75" s="31">
        <v>1900</v>
      </c>
      <c r="H75" s="60">
        <f t="shared" si="8"/>
        <v>0</v>
      </c>
      <c r="I75" s="61"/>
      <c r="J75" s="50"/>
      <c r="K75" s="51"/>
      <c r="L75" s="62"/>
      <c r="M75" s="16"/>
      <c r="N75" s="16"/>
      <c r="O75" s="16"/>
      <c r="P75" s="16"/>
      <c r="Q75" s="16"/>
      <c r="R75" s="16"/>
      <c r="S75" s="16"/>
      <c r="T75" s="16"/>
      <c r="U75" s="16"/>
      <c r="V75" s="16"/>
      <c r="W75" s="16"/>
      <c r="X75" s="16"/>
      <c r="Y75" s="16"/>
      <c r="Z75" s="17"/>
      <c r="AA75" s="16"/>
      <c r="AB75" s="16"/>
      <c r="AC75" s="16"/>
      <c r="AD75" s="16"/>
      <c r="AE75" s="16"/>
      <c r="AF75" s="16"/>
      <c r="AG75" s="16"/>
      <c r="AH75" s="16"/>
      <c r="AI75" s="16"/>
      <c r="AJ75" s="16"/>
      <c r="AK75" s="16"/>
      <c r="AL75" s="16"/>
      <c r="AM75" s="16"/>
      <c r="AN75" s="16"/>
      <c r="AO75" s="16"/>
      <c r="AP75" s="16"/>
      <c r="AQ75" s="16"/>
      <c r="AR75" s="16"/>
      <c r="AS75" s="16"/>
      <c r="AT75" s="16"/>
      <c r="AU75" s="16"/>
      <c r="AV75" s="16"/>
      <c r="AW75" s="16"/>
      <c r="AX75" s="16"/>
      <c r="AY75" s="16"/>
      <c r="AZ75" s="16"/>
      <c r="BA75" s="16"/>
      <c r="BB75" s="16"/>
      <c r="BC75" s="16"/>
      <c r="BD75" s="16"/>
      <c r="BE75" s="16"/>
      <c r="BF75" s="16"/>
      <c r="BG75" s="16"/>
      <c r="BH75" s="16"/>
      <c r="BI75" s="16"/>
      <c r="BJ75" s="16"/>
      <c r="BK75" s="16"/>
      <c r="BL75" s="16"/>
      <c r="BM75" s="16"/>
      <c r="BN75" s="16"/>
      <c r="BO75" s="16"/>
      <c r="BP75" s="16"/>
      <c r="BQ75" s="16"/>
      <c r="BR75" s="16"/>
      <c r="BS75" s="16"/>
      <c r="BT75" s="16"/>
    </row>
    <row r="76" spans="1:72" ht="15.75" x14ac:dyDescent="0.25">
      <c r="A76" s="241" t="s">
        <v>101</v>
      </c>
      <c r="B76" s="242"/>
      <c r="C76" s="242"/>
      <c r="D76" s="242"/>
      <c r="E76" s="123" t="s">
        <v>87</v>
      </c>
      <c r="F76" s="128"/>
      <c r="G76" s="36">
        <v>2000</v>
      </c>
      <c r="H76" s="48">
        <f t="shared" si="8"/>
        <v>0</v>
      </c>
      <c r="I76" s="59"/>
      <c r="J76" s="50"/>
      <c r="K76" s="51"/>
      <c r="L76" s="62"/>
      <c r="M76" s="16"/>
      <c r="N76" s="16"/>
      <c r="O76" s="16"/>
      <c r="P76" s="16"/>
      <c r="Q76" s="16"/>
      <c r="R76" s="16"/>
      <c r="S76" s="16"/>
      <c r="T76" s="16"/>
      <c r="U76" s="16"/>
      <c r="V76" s="16"/>
      <c r="W76" s="16"/>
      <c r="X76" s="16"/>
      <c r="Y76" s="1"/>
      <c r="Z76" s="120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  <c r="AV76" s="1"/>
      <c r="AW76" s="1"/>
      <c r="AX76" s="1"/>
      <c r="AY76" s="1"/>
      <c r="AZ76" s="1"/>
      <c r="BA76" s="1"/>
      <c r="BB76" s="1"/>
      <c r="BC76" s="1"/>
      <c r="BD76" s="1"/>
      <c r="BE76" s="1"/>
      <c r="BF76" s="1"/>
      <c r="BG76" s="1"/>
      <c r="BH76" s="1"/>
      <c r="BI76" s="1"/>
      <c r="BJ76" s="1"/>
      <c r="BK76" s="1"/>
      <c r="BL76" s="1"/>
      <c r="BM76" s="1"/>
      <c r="BN76" s="1"/>
      <c r="BO76" s="1"/>
      <c r="BP76" s="1"/>
      <c r="BQ76" s="1"/>
      <c r="BR76" s="1"/>
      <c r="BS76" s="1"/>
      <c r="BT76" s="1"/>
    </row>
    <row r="77" spans="1:72" ht="15.75" x14ac:dyDescent="0.25">
      <c r="A77" s="241" t="s">
        <v>102</v>
      </c>
      <c r="B77" s="242"/>
      <c r="C77" s="242"/>
      <c r="D77" s="242"/>
      <c r="E77" s="123" t="s">
        <v>87</v>
      </c>
      <c r="F77" s="128"/>
      <c r="G77" s="36">
        <v>200</v>
      </c>
      <c r="H77" s="48">
        <f t="shared" si="8"/>
        <v>0</v>
      </c>
      <c r="I77" s="59"/>
      <c r="J77" s="50"/>
      <c r="K77" s="51"/>
      <c r="L77" s="62"/>
      <c r="M77" s="16"/>
      <c r="N77" s="16"/>
      <c r="O77" s="16"/>
      <c r="P77" s="16"/>
      <c r="Q77" s="16"/>
      <c r="R77" s="16"/>
      <c r="S77" s="16"/>
      <c r="T77" s="16"/>
      <c r="U77" s="16"/>
      <c r="V77" s="16"/>
      <c r="W77" s="16"/>
      <c r="X77" s="16"/>
      <c r="Y77" s="1"/>
      <c r="Z77" s="120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  <c r="AV77" s="1"/>
      <c r="AW77" s="1"/>
      <c r="AX77" s="1"/>
      <c r="AY77" s="1"/>
      <c r="AZ77" s="1"/>
      <c r="BA77" s="1"/>
      <c r="BB77" s="1"/>
      <c r="BC77" s="1"/>
      <c r="BD77" s="1"/>
      <c r="BE77" s="1"/>
      <c r="BF77" s="1"/>
      <c r="BG77" s="1"/>
      <c r="BH77" s="1"/>
      <c r="BI77" s="1"/>
      <c r="BJ77" s="1"/>
      <c r="BK77" s="1"/>
      <c r="BL77" s="1"/>
      <c r="BM77" s="1"/>
      <c r="BN77" s="1"/>
      <c r="BO77" s="1"/>
      <c r="BP77" s="1"/>
      <c r="BQ77" s="1"/>
      <c r="BR77" s="1"/>
      <c r="BS77" s="1"/>
      <c r="BT77" s="1"/>
    </row>
    <row r="78" spans="1:72" ht="15.75" x14ac:dyDescent="0.25">
      <c r="A78" s="241" t="s">
        <v>103</v>
      </c>
      <c r="B78" s="242"/>
      <c r="C78" s="242"/>
      <c r="D78" s="242"/>
      <c r="E78" s="123" t="s">
        <v>87</v>
      </c>
      <c r="F78" s="128"/>
      <c r="G78" s="36">
        <v>1100</v>
      </c>
      <c r="H78" s="48">
        <f t="shared" si="8"/>
        <v>0</v>
      </c>
      <c r="I78" s="59"/>
      <c r="J78" s="50"/>
      <c r="K78" s="51"/>
      <c r="L78" s="62"/>
      <c r="M78" s="16"/>
      <c r="N78" s="16"/>
      <c r="O78" s="16"/>
      <c r="P78" s="16"/>
      <c r="Q78" s="16"/>
      <c r="R78" s="16"/>
      <c r="S78" s="16"/>
      <c r="T78" s="16"/>
      <c r="U78" s="16"/>
      <c r="V78" s="16"/>
      <c r="W78" s="16"/>
      <c r="X78" s="16"/>
      <c r="Y78" s="1"/>
      <c r="Z78" s="120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  <c r="AV78" s="1"/>
      <c r="AW78" s="1"/>
      <c r="AX78" s="1"/>
      <c r="AY78" s="1"/>
      <c r="AZ78" s="1"/>
      <c r="BA78" s="1"/>
      <c r="BB78" s="1"/>
      <c r="BC78" s="1"/>
      <c r="BD78" s="1"/>
      <c r="BE78" s="1"/>
      <c r="BF78" s="1"/>
      <c r="BG78" s="1"/>
      <c r="BH78" s="1"/>
      <c r="BI78" s="1"/>
      <c r="BJ78" s="1"/>
      <c r="BK78" s="1"/>
      <c r="BL78" s="1"/>
      <c r="BM78" s="1"/>
      <c r="BN78" s="1"/>
      <c r="BO78" s="1"/>
      <c r="BP78" s="1"/>
      <c r="BQ78" s="1"/>
      <c r="BR78" s="1"/>
      <c r="BS78" s="1"/>
      <c r="BT78" s="1"/>
    </row>
    <row r="79" spans="1:72" ht="15.75" x14ac:dyDescent="0.25">
      <c r="A79" s="241" t="s">
        <v>104</v>
      </c>
      <c r="B79" s="242"/>
      <c r="C79" s="242"/>
      <c r="D79" s="242"/>
      <c r="E79" s="123" t="s">
        <v>87</v>
      </c>
      <c r="F79" s="128"/>
      <c r="G79" s="36">
        <v>2200</v>
      </c>
      <c r="H79" s="48">
        <f t="shared" si="8"/>
        <v>0</v>
      </c>
      <c r="I79" s="59"/>
      <c r="J79" s="50"/>
      <c r="K79" s="51"/>
      <c r="L79" s="62"/>
      <c r="M79" s="16"/>
      <c r="N79" s="16"/>
      <c r="O79" s="16"/>
      <c r="P79" s="16"/>
      <c r="Q79" s="16"/>
      <c r="R79" s="16"/>
      <c r="S79" s="16"/>
      <c r="T79" s="16"/>
      <c r="U79" s="16"/>
      <c r="V79" s="16"/>
      <c r="W79" s="16"/>
      <c r="X79" s="16"/>
      <c r="Y79" s="1"/>
      <c r="Z79" s="120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  <c r="AV79" s="1"/>
      <c r="AW79" s="1"/>
      <c r="AX79" s="1"/>
      <c r="AY79" s="1"/>
      <c r="AZ79" s="1"/>
      <c r="BA79" s="1"/>
      <c r="BB79" s="1"/>
      <c r="BC79" s="1"/>
      <c r="BD79" s="1"/>
      <c r="BE79" s="1"/>
      <c r="BF79" s="1"/>
      <c r="BG79" s="1"/>
      <c r="BH79" s="1"/>
      <c r="BI79" s="1"/>
      <c r="BJ79" s="1"/>
      <c r="BK79" s="1"/>
      <c r="BL79" s="1"/>
      <c r="BM79" s="1"/>
      <c r="BN79" s="1"/>
      <c r="BO79" s="1"/>
      <c r="BP79" s="1"/>
      <c r="BQ79" s="1"/>
      <c r="BR79" s="1"/>
      <c r="BS79" s="1"/>
      <c r="BT79" s="1"/>
    </row>
    <row r="80" spans="1:72" ht="15.75" x14ac:dyDescent="0.25">
      <c r="A80" s="241" t="s">
        <v>105</v>
      </c>
      <c r="B80" s="242"/>
      <c r="C80" s="242"/>
      <c r="D80" s="242"/>
      <c r="E80" s="4" t="s">
        <v>87</v>
      </c>
      <c r="F80" s="128"/>
      <c r="G80" s="31">
        <v>1420</v>
      </c>
      <c r="H80" s="60">
        <f t="shared" si="8"/>
        <v>0</v>
      </c>
      <c r="I80" s="64"/>
      <c r="J80" s="50"/>
      <c r="K80" s="51"/>
      <c r="L80" s="62"/>
      <c r="M80" s="16"/>
      <c r="N80" s="16"/>
      <c r="O80" s="16"/>
      <c r="P80" s="16"/>
      <c r="Q80" s="16"/>
      <c r="R80" s="16"/>
      <c r="S80" s="16"/>
      <c r="T80" s="16"/>
      <c r="U80" s="16"/>
      <c r="V80" s="16"/>
      <c r="W80" s="16"/>
      <c r="X80" s="16"/>
      <c r="Y80" s="1"/>
      <c r="Z80" s="120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  <c r="AU80" s="1"/>
      <c r="AV80" s="1"/>
      <c r="AW80" s="1"/>
      <c r="AX80" s="1"/>
      <c r="AY80" s="1"/>
      <c r="AZ80" s="1"/>
      <c r="BA80" s="1"/>
      <c r="BB80" s="1"/>
      <c r="BC80" s="1"/>
      <c r="BD80" s="1"/>
      <c r="BE80" s="1"/>
      <c r="BF80" s="1"/>
      <c r="BG80" s="1"/>
      <c r="BH80" s="1"/>
      <c r="BI80" s="1"/>
      <c r="BJ80" s="1"/>
      <c r="BK80" s="1"/>
      <c r="BL80" s="1"/>
      <c r="BM80" s="1"/>
      <c r="BN80" s="1"/>
      <c r="BO80" s="1"/>
      <c r="BP80" s="1"/>
      <c r="BQ80" s="1"/>
      <c r="BR80" s="1"/>
      <c r="BS80" s="1"/>
      <c r="BT80" s="1"/>
    </row>
    <row r="81" spans="1:72" ht="15.75" x14ac:dyDescent="0.25">
      <c r="A81" s="241" t="s">
        <v>153</v>
      </c>
      <c r="B81" s="242"/>
      <c r="C81" s="242"/>
      <c r="D81" s="242"/>
      <c r="E81" s="4" t="s">
        <v>87</v>
      </c>
      <c r="F81" s="128"/>
      <c r="G81" s="31">
        <v>15200</v>
      </c>
      <c r="H81" s="60">
        <f t="shared" si="8"/>
        <v>0</v>
      </c>
      <c r="I81" s="165"/>
      <c r="J81" s="66"/>
      <c r="K81" s="67"/>
      <c r="L81" s="62"/>
      <c r="M81" s="16"/>
      <c r="N81" s="16"/>
      <c r="O81" s="16"/>
      <c r="P81" s="16"/>
      <c r="Q81" s="16"/>
      <c r="R81" s="16"/>
      <c r="S81" s="16"/>
      <c r="T81" s="16"/>
      <c r="U81" s="16"/>
      <c r="V81" s="16"/>
      <c r="W81" s="16"/>
      <c r="X81" s="16"/>
      <c r="Y81" s="1"/>
      <c r="Z81" s="120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  <c r="AV81" s="1"/>
      <c r="AW81" s="1"/>
      <c r="AX81" s="1"/>
      <c r="AY81" s="1"/>
      <c r="AZ81" s="1"/>
      <c r="BA81" s="1"/>
      <c r="BB81" s="1"/>
      <c r="BC81" s="1"/>
      <c r="BD81" s="1"/>
      <c r="BE81" s="1"/>
      <c r="BF81" s="1"/>
      <c r="BG81" s="1"/>
      <c r="BH81" s="1"/>
      <c r="BI81" s="1"/>
      <c r="BJ81" s="1"/>
      <c r="BK81" s="1"/>
      <c r="BL81" s="1"/>
      <c r="BM81" s="1"/>
      <c r="BN81" s="1"/>
      <c r="BO81" s="1"/>
      <c r="BP81" s="1"/>
      <c r="BQ81" s="1"/>
      <c r="BR81" s="1"/>
      <c r="BS81" s="1"/>
      <c r="BT81" s="1"/>
    </row>
    <row r="82" spans="1:72" ht="15.75" x14ac:dyDescent="0.25">
      <c r="A82" s="241" t="s">
        <v>155</v>
      </c>
      <c r="B82" s="242"/>
      <c r="C82" s="242"/>
      <c r="D82" s="242"/>
      <c r="E82" s="4" t="s">
        <v>87</v>
      </c>
      <c r="F82" s="128"/>
      <c r="G82" s="31">
        <v>5800</v>
      </c>
      <c r="H82" s="60">
        <f t="shared" si="8"/>
        <v>0</v>
      </c>
      <c r="I82" s="165"/>
      <c r="J82" s="66"/>
      <c r="K82" s="67"/>
      <c r="L82" s="62"/>
      <c r="M82" s="16"/>
      <c r="N82" s="16"/>
      <c r="O82" s="16"/>
      <c r="P82" s="16"/>
      <c r="Q82" s="16"/>
      <c r="R82" s="16"/>
      <c r="S82" s="16"/>
      <c r="T82" s="16"/>
      <c r="U82" s="16"/>
      <c r="V82" s="16"/>
      <c r="W82" s="16"/>
      <c r="X82" s="16"/>
      <c r="Y82" s="1"/>
      <c r="Z82" s="120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  <c r="AV82" s="1"/>
      <c r="AW82" s="1"/>
      <c r="AX82" s="1"/>
      <c r="AY82" s="1"/>
      <c r="AZ82" s="1"/>
      <c r="BA82" s="1"/>
      <c r="BB82" s="1"/>
      <c r="BC82" s="1"/>
      <c r="BD82" s="1"/>
      <c r="BE82" s="1"/>
      <c r="BF82" s="1"/>
      <c r="BG82" s="1"/>
      <c r="BH82" s="1"/>
      <c r="BI82" s="1"/>
      <c r="BJ82" s="1"/>
      <c r="BK82" s="1"/>
      <c r="BL82" s="1"/>
      <c r="BM82" s="1"/>
      <c r="BN82" s="1"/>
      <c r="BO82" s="1"/>
      <c r="BP82" s="1"/>
      <c r="BQ82" s="1"/>
      <c r="BR82" s="1"/>
      <c r="BS82" s="1"/>
      <c r="BT82" s="1"/>
    </row>
    <row r="83" spans="1:72" ht="15.75" x14ac:dyDescent="0.25">
      <c r="A83" s="241"/>
      <c r="B83" s="242"/>
      <c r="C83" s="242"/>
      <c r="D83" s="242"/>
      <c r="E83" s="4" t="s">
        <v>87</v>
      </c>
      <c r="F83" s="128"/>
      <c r="G83" s="31"/>
      <c r="H83" s="60">
        <f t="shared" si="8"/>
        <v>0</v>
      </c>
      <c r="I83" s="165"/>
      <c r="J83" s="66"/>
      <c r="K83" s="67"/>
      <c r="L83" s="62"/>
      <c r="M83" s="16"/>
      <c r="N83" s="16"/>
      <c r="O83" s="16"/>
      <c r="P83" s="16"/>
      <c r="Q83" s="16"/>
      <c r="R83" s="16"/>
      <c r="S83" s="16"/>
      <c r="T83" s="16"/>
      <c r="U83" s="16"/>
      <c r="V83" s="16"/>
      <c r="W83" s="16"/>
      <c r="X83" s="16"/>
      <c r="Y83" s="1"/>
      <c r="Z83" s="120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  <c r="AV83" s="1"/>
      <c r="AW83" s="1"/>
      <c r="AX83" s="1"/>
      <c r="AY83" s="1"/>
      <c r="AZ83" s="1"/>
      <c r="BA83" s="1"/>
      <c r="BB83" s="1"/>
      <c r="BC83" s="1"/>
      <c r="BD83" s="1"/>
      <c r="BE83" s="1"/>
      <c r="BF83" s="1"/>
      <c r="BG83" s="1"/>
      <c r="BH83" s="1"/>
      <c r="BI83" s="1"/>
      <c r="BJ83" s="1"/>
      <c r="BK83" s="1"/>
      <c r="BL83" s="1"/>
      <c r="BM83" s="1"/>
      <c r="BN83" s="1"/>
      <c r="BO83" s="1"/>
      <c r="BP83" s="1"/>
      <c r="BQ83" s="1"/>
      <c r="BR83" s="1"/>
      <c r="BS83" s="1"/>
      <c r="BT83" s="1"/>
    </row>
    <row r="84" spans="1:72" ht="15.75" x14ac:dyDescent="0.25">
      <c r="A84" s="241" t="s">
        <v>154</v>
      </c>
      <c r="B84" s="242"/>
      <c r="C84" s="242"/>
      <c r="D84" s="242"/>
      <c r="E84" s="4" t="s">
        <v>87</v>
      </c>
      <c r="F84" s="128"/>
      <c r="G84" s="31">
        <v>15000</v>
      </c>
      <c r="H84" s="60">
        <f t="shared" si="8"/>
        <v>0</v>
      </c>
      <c r="I84" s="165"/>
      <c r="J84" s="66"/>
      <c r="K84" s="67"/>
      <c r="L84" s="62"/>
      <c r="M84" s="16"/>
      <c r="N84" s="16"/>
      <c r="O84" s="16"/>
      <c r="P84" s="16"/>
      <c r="Q84" s="16"/>
      <c r="R84" s="16"/>
      <c r="S84" s="16"/>
      <c r="T84" s="16"/>
      <c r="U84" s="16"/>
      <c r="V84" s="16"/>
      <c r="W84" s="16"/>
      <c r="X84" s="16"/>
      <c r="Y84" s="1"/>
      <c r="Z84" s="120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  <c r="AV84" s="1"/>
      <c r="AW84" s="1"/>
      <c r="AX84" s="1"/>
      <c r="AY84" s="1"/>
      <c r="AZ84" s="1"/>
      <c r="BA84" s="1"/>
      <c r="BB84" s="1"/>
      <c r="BC84" s="1"/>
      <c r="BD84" s="1"/>
      <c r="BE84" s="1"/>
      <c r="BF84" s="1"/>
      <c r="BG84" s="1"/>
      <c r="BH84" s="1"/>
      <c r="BI84" s="1"/>
      <c r="BJ84" s="1"/>
      <c r="BK84" s="1"/>
      <c r="BL84" s="1"/>
      <c r="BM84" s="1"/>
      <c r="BN84" s="1"/>
      <c r="BO84" s="1"/>
      <c r="BP84" s="1"/>
      <c r="BQ84" s="1"/>
      <c r="BR84" s="1"/>
      <c r="BS84" s="1"/>
      <c r="BT84" s="1"/>
    </row>
    <row r="85" spans="1:72" ht="16.5" thickBot="1" x14ac:dyDescent="0.3">
      <c r="A85" s="241" t="s">
        <v>106</v>
      </c>
      <c r="B85" s="242"/>
      <c r="C85" s="242"/>
      <c r="D85" s="242"/>
      <c r="E85" s="123" t="s">
        <v>87</v>
      </c>
      <c r="F85" s="128"/>
      <c r="G85" s="36">
        <v>383.5</v>
      </c>
      <c r="H85" s="99">
        <f>(F85*G85)</f>
        <v>0</v>
      </c>
      <c r="I85" s="65"/>
      <c r="J85" s="66"/>
      <c r="K85" s="67"/>
      <c r="L85" s="62"/>
      <c r="M85" s="16"/>
      <c r="N85" s="16"/>
      <c r="O85" s="16"/>
      <c r="P85" s="16"/>
      <c r="Q85" s="16"/>
      <c r="R85" s="16"/>
      <c r="S85" s="16"/>
      <c r="T85" s="16"/>
      <c r="U85" s="16"/>
      <c r="V85" s="16"/>
      <c r="W85" s="16"/>
      <c r="X85" s="16"/>
      <c r="Y85" s="1"/>
      <c r="Z85" s="120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  <c r="AV85" s="1"/>
      <c r="AW85" s="1"/>
      <c r="AX85" s="1"/>
      <c r="AY85" s="1"/>
      <c r="AZ85" s="1"/>
      <c r="BA85" s="1"/>
      <c r="BB85" s="1"/>
      <c r="BC85" s="1"/>
      <c r="BD85" s="1"/>
      <c r="BE85" s="1"/>
      <c r="BF85" s="1"/>
      <c r="BG85" s="1"/>
      <c r="BH85" s="1"/>
      <c r="BI85" s="1"/>
      <c r="BJ85" s="1"/>
      <c r="BK85" s="1"/>
      <c r="BL85" s="1"/>
      <c r="BM85" s="1"/>
      <c r="BN85" s="1"/>
      <c r="BO85" s="1"/>
      <c r="BP85" s="1"/>
      <c r="BQ85" s="1"/>
      <c r="BR85" s="1"/>
      <c r="BS85" s="1"/>
      <c r="BT85" s="1"/>
    </row>
    <row r="86" spans="1:72" ht="16.5" thickBot="1" x14ac:dyDescent="0.3">
      <c r="A86" s="16"/>
      <c r="B86" s="16"/>
      <c r="C86" s="16"/>
      <c r="D86" s="16"/>
      <c r="E86" s="16"/>
      <c r="F86" s="18"/>
      <c r="G86" s="125" t="s">
        <v>107</v>
      </c>
      <c r="H86" s="110">
        <f>SUM(H62:H85)</f>
        <v>0</v>
      </c>
      <c r="I86" s="68"/>
      <c r="J86" s="69"/>
      <c r="K86" s="70"/>
      <c r="L86" s="135"/>
      <c r="M86" s="7"/>
      <c r="N86" s="7"/>
      <c r="O86" s="16"/>
      <c r="P86" s="16"/>
      <c r="Q86" s="16"/>
      <c r="R86" s="16"/>
      <c r="S86" s="16"/>
      <c r="T86" s="16"/>
      <c r="U86" s="16"/>
      <c r="V86" s="16"/>
      <c r="W86" s="16"/>
      <c r="X86" s="16"/>
      <c r="Y86" s="1"/>
      <c r="Z86" s="120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/>
      <c r="AV86" s="1"/>
      <c r="AW86" s="1"/>
      <c r="AX86" s="1"/>
      <c r="AY86" s="1"/>
      <c r="AZ86" s="1"/>
      <c r="BA86" s="1"/>
      <c r="BB86" s="1"/>
      <c r="BC86" s="1"/>
      <c r="BD86" s="1"/>
      <c r="BE86" s="1"/>
      <c r="BF86" s="1"/>
      <c r="BG86" s="1"/>
      <c r="BH86" s="1"/>
      <c r="BI86" s="1"/>
      <c r="BJ86" s="1"/>
      <c r="BK86" s="1"/>
      <c r="BL86" s="1"/>
      <c r="BM86" s="1"/>
      <c r="BN86" s="1"/>
      <c r="BO86" s="1"/>
      <c r="BP86" s="1"/>
      <c r="BQ86" s="1"/>
      <c r="BR86" s="1"/>
      <c r="BS86" s="1"/>
      <c r="BT86" s="1"/>
    </row>
    <row r="87" spans="1:72" ht="15.75" x14ac:dyDescent="0.25">
      <c r="A87" s="16"/>
      <c r="B87" s="16"/>
      <c r="C87" s="16"/>
      <c r="D87" s="16"/>
      <c r="E87" s="16"/>
      <c r="F87" s="7"/>
      <c r="G87" s="38"/>
      <c r="H87" s="22"/>
      <c r="I87" s="71"/>
      <c r="J87" s="18"/>
      <c r="K87" s="137"/>
      <c r="L87" s="136"/>
      <c r="M87" s="7"/>
      <c r="N87" s="7"/>
      <c r="O87" s="16"/>
      <c r="P87" s="16"/>
      <c r="Q87" s="16"/>
      <c r="R87" s="16"/>
      <c r="S87" s="16"/>
      <c r="T87" s="16"/>
      <c r="U87" s="16"/>
      <c r="V87" s="16"/>
      <c r="W87" s="16"/>
      <c r="X87" s="16"/>
      <c r="Y87" s="1"/>
      <c r="Z87" s="120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  <c r="AV87" s="1"/>
      <c r="AW87" s="1"/>
      <c r="AX87" s="1"/>
      <c r="AY87" s="1"/>
      <c r="AZ87" s="1"/>
      <c r="BA87" s="1"/>
      <c r="BB87" s="1"/>
      <c r="BC87" s="1"/>
      <c r="BD87" s="1"/>
      <c r="BE87" s="1"/>
      <c r="BF87" s="1"/>
      <c r="BG87" s="1"/>
      <c r="BH87" s="1"/>
      <c r="BI87" s="1"/>
      <c r="BJ87" s="1"/>
      <c r="BK87" s="1"/>
      <c r="BL87" s="1"/>
      <c r="BM87" s="1"/>
      <c r="BN87" s="1"/>
      <c r="BO87" s="1"/>
      <c r="BP87" s="1"/>
      <c r="BQ87" s="1"/>
      <c r="BR87" s="1"/>
      <c r="BS87" s="1"/>
      <c r="BT87" s="1"/>
    </row>
    <row r="88" spans="1:72" ht="15.75" x14ac:dyDescent="0.25">
      <c r="A88" s="16"/>
      <c r="B88" s="16"/>
      <c r="C88" s="16"/>
      <c r="D88" s="16"/>
      <c r="E88" s="138">
        <v>0</v>
      </c>
      <c r="F88" s="7"/>
      <c r="G88" s="38"/>
      <c r="H88" s="142">
        <f>+E88</f>
        <v>0</v>
      </c>
      <c r="I88" s="264" t="s">
        <v>130</v>
      </c>
      <c r="J88" s="257" t="s">
        <v>108</v>
      </c>
      <c r="K88" s="259"/>
      <c r="L88" s="16"/>
      <c r="M88" s="7"/>
      <c r="N88" s="260"/>
      <c r="O88" s="16"/>
      <c r="P88" s="16"/>
      <c r="Q88" s="16"/>
      <c r="R88" s="16"/>
      <c r="S88" s="16"/>
      <c r="T88" s="16"/>
      <c r="U88" s="16"/>
      <c r="V88" s="16"/>
      <c r="W88" s="16"/>
      <c r="X88" s="16"/>
      <c r="Y88" s="1"/>
      <c r="Z88" s="120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"/>
      <c r="AV88" s="1"/>
      <c r="AW88" s="1"/>
      <c r="AX88" s="1"/>
      <c r="AY88" s="1"/>
      <c r="AZ88" s="1"/>
      <c r="BA88" s="1"/>
      <c r="BB88" s="1"/>
      <c r="BC88" s="1"/>
      <c r="BD88" s="1"/>
      <c r="BE88" s="1"/>
      <c r="BF88" s="1"/>
      <c r="BG88" s="1"/>
      <c r="BH88" s="1"/>
      <c r="BI88" s="1"/>
      <c r="BJ88" s="1"/>
      <c r="BK88" s="1"/>
      <c r="BL88" s="1"/>
      <c r="BM88" s="1"/>
      <c r="BN88" s="1"/>
      <c r="BO88" s="1"/>
      <c r="BP88" s="1"/>
      <c r="BQ88" s="1"/>
      <c r="BR88" s="1"/>
      <c r="BS88" s="1"/>
      <c r="BT88" s="1"/>
    </row>
    <row r="89" spans="1:72" ht="15.75" x14ac:dyDescent="0.25">
      <c r="A89" s="16"/>
      <c r="B89" s="16"/>
      <c r="C89" s="16"/>
      <c r="D89" s="16"/>
      <c r="E89" s="16"/>
      <c r="F89" s="261" t="s">
        <v>109</v>
      </c>
      <c r="G89" s="262"/>
      <c r="H89" s="73">
        <f>H59+H86</f>
        <v>4749.04</v>
      </c>
      <c r="I89" s="265"/>
      <c r="J89" s="258"/>
      <c r="K89" s="259"/>
      <c r="L89" s="16"/>
      <c r="M89" s="7"/>
      <c r="N89" s="260"/>
      <c r="O89" s="16"/>
      <c r="P89" s="16"/>
      <c r="Q89" s="16"/>
      <c r="R89" s="16"/>
      <c r="S89" s="16"/>
      <c r="T89" s="16"/>
      <c r="U89" s="16"/>
      <c r="V89" s="16"/>
      <c r="W89" s="16"/>
      <c r="X89" s="16"/>
      <c r="Y89" s="1"/>
      <c r="Z89" s="120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  <c r="AV89" s="1"/>
      <c r="AW89" s="1"/>
      <c r="AX89" s="1"/>
      <c r="AY89" s="1"/>
      <c r="AZ89" s="1"/>
      <c r="BA89" s="1"/>
      <c r="BB89" s="1"/>
      <c r="BC89" s="1"/>
      <c r="BD89" s="1"/>
      <c r="BE89" s="1"/>
      <c r="BF89" s="1"/>
      <c r="BG89" s="1"/>
      <c r="BH89" s="1"/>
      <c r="BI89" s="1"/>
      <c r="BJ89" s="1"/>
      <c r="BK89" s="1"/>
      <c r="BL89" s="1"/>
      <c r="BM89" s="1"/>
      <c r="BN89" s="1"/>
      <c r="BO89" s="1"/>
      <c r="BP89" s="1"/>
      <c r="BQ89" s="1"/>
      <c r="BR89" s="1"/>
      <c r="BS89" s="1"/>
      <c r="BT89" s="1"/>
    </row>
    <row r="90" spans="1:72" ht="15.75" x14ac:dyDescent="0.25">
      <c r="A90" s="16"/>
      <c r="B90" s="16"/>
      <c r="C90" s="16"/>
      <c r="D90" s="16"/>
      <c r="E90" s="27"/>
      <c r="F90" s="74" t="s">
        <v>110</v>
      </c>
      <c r="G90" s="75">
        <v>0.3</v>
      </c>
      <c r="H90" s="116">
        <f>H89*G90</f>
        <v>1424.712</v>
      </c>
      <c r="I90" s="115">
        <f>+M96</f>
        <v>-26.739911999999912</v>
      </c>
      <c r="J90" s="117">
        <f>H90-M96</f>
        <v>1451.451912</v>
      </c>
      <c r="K90" s="9"/>
      <c r="L90" s="9"/>
      <c r="M90" s="9"/>
      <c r="N90" s="126" t="s">
        <v>132</v>
      </c>
      <c r="O90" s="126"/>
      <c r="P90" s="16"/>
      <c r="Q90" s="16"/>
      <c r="R90" s="16"/>
      <c r="S90" s="16"/>
      <c r="T90" s="16"/>
      <c r="U90" s="16"/>
      <c r="V90" s="16"/>
      <c r="W90" s="16"/>
      <c r="X90" s="16"/>
      <c r="Y90" s="1"/>
      <c r="Z90" s="120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  <c r="AV90" s="1"/>
      <c r="AW90" s="1"/>
      <c r="AX90" s="1"/>
      <c r="AY90" s="1"/>
      <c r="AZ90" s="1"/>
      <c r="BA90" s="1"/>
      <c r="BB90" s="1"/>
      <c r="BC90" s="1"/>
      <c r="BD90" s="1"/>
      <c r="BE90" s="1"/>
      <c r="BF90" s="1"/>
      <c r="BG90" s="1"/>
      <c r="BH90" s="1"/>
      <c r="BI90" s="1"/>
      <c r="BJ90" s="1"/>
      <c r="BK90" s="1"/>
      <c r="BL90" s="1"/>
      <c r="BM90" s="1"/>
      <c r="BN90" s="1"/>
      <c r="BO90" s="1"/>
      <c r="BP90" s="1"/>
      <c r="BQ90" s="1"/>
      <c r="BR90" s="1"/>
      <c r="BS90" s="1"/>
      <c r="BT90" s="1"/>
    </row>
    <row r="91" spans="1:72" ht="15.75" x14ac:dyDescent="0.25">
      <c r="A91" s="16"/>
      <c r="B91" s="16"/>
      <c r="C91" s="16"/>
      <c r="D91" s="16"/>
      <c r="E91" s="27"/>
      <c r="F91" s="77" t="s">
        <v>111</v>
      </c>
      <c r="G91" s="78"/>
      <c r="H91" s="13">
        <f>H89+H90</f>
        <v>6173.7520000000004</v>
      </c>
      <c r="I91" s="20"/>
      <c r="J91" s="79"/>
      <c r="K91" s="22"/>
      <c r="L91" s="22"/>
      <c r="M91" s="7"/>
      <c r="N91" s="126"/>
      <c r="O91" s="126"/>
      <c r="P91" s="16"/>
      <c r="Q91" s="16"/>
      <c r="R91" s="16"/>
      <c r="S91" s="16"/>
      <c r="T91" s="16"/>
      <c r="U91" s="16"/>
      <c r="V91" s="16"/>
      <c r="W91" s="16"/>
      <c r="X91" s="16"/>
      <c r="Y91" s="1"/>
      <c r="Z91" s="120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  <c r="AV91" s="1"/>
      <c r="AW91" s="1"/>
      <c r="AX91" s="1"/>
      <c r="AY91" s="1"/>
      <c r="AZ91" s="1"/>
      <c r="BA91" s="1"/>
      <c r="BB91" s="1"/>
      <c r="BC91" s="1"/>
      <c r="BD91" s="1"/>
      <c r="BE91" s="1"/>
      <c r="BF91" s="1"/>
      <c r="BG91" s="1"/>
      <c r="BH91" s="1"/>
      <c r="BI91" s="1"/>
      <c r="BJ91" s="1"/>
      <c r="BK91" s="1"/>
      <c r="BL91" s="1"/>
      <c r="BM91" s="1"/>
      <c r="BN91" s="1"/>
      <c r="BO91" s="1"/>
      <c r="BP91" s="1"/>
      <c r="BQ91" s="1"/>
      <c r="BR91" s="1"/>
      <c r="BS91" s="1"/>
      <c r="BT91" s="1"/>
    </row>
    <row r="92" spans="1:72" ht="15.75" x14ac:dyDescent="0.25">
      <c r="A92" s="16"/>
      <c r="B92" s="16"/>
      <c r="C92" s="16"/>
      <c r="D92" s="16"/>
      <c r="E92" s="27"/>
      <c r="F92" s="124" t="s">
        <v>113</v>
      </c>
      <c r="G92" s="82">
        <v>0.03</v>
      </c>
      <c r="H92" s="13">
        <f>H91*G92</f>
        <v>185.21256</v>
      </c>
      <c r="I92" s="83"/>
      <c r="J92" s="80"/>
      <c r="K92" s="81" t="s">
        <v>112</v>
      </c>
      <c r="L92" s="111" t="s">
        <v>131</v>
      </c>
      <c r="M92" s="7"/>
      <c r="N92" s="135"/>
      <c r="O92" s="16"/>
      <c r="P92" s="16"/>
      <c r="Q92" s="16"/>
      <c r="R92" s="16"/>
      <c r="S92" s="16"/>
      <c r="T92" s="16"/>
      <c r="U92" s="16"/>
      <c r="V92" s="16"/>
      <c r="W92" s="16"/>
      <c r="X92" s="16"/>
      <c r="Y92" s="1"/>
      <c r="Z92" s="120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  <c r="AU92" s="1"/>
      <c r="AV92" s="1"/>
      <c r="AW92" s="1"/>
      <c r="AX92" s="1"/>
      <c r="AY92" s="1"/>
      <c r="AZ92" s="1"/>
      <c r="BA92" s="1"/>
      <c r="BB92" s="1"/>
      <c r="BC92" s="1"/>
      <c r="BD92" s="1"/>
      <c r="BE92" s="1"/>
      <c r="BF92" s="1"/>
      <c r="BG92" s="1"/>
      <c r="BH92" s="1"/>
      <c r="BI92" s="1"/>
      <c r="BJ92" s="1"/>
      <c r="BK92" s="1"/>
      <c r="BL92" s="1"/>
      <c r="BM92" s="1"/>
      <c r="BN92" s="1"/>
      <c r="BO92" s="1"/>
      <c r="BP92" s="1"/>
      <c r="BQ92" s="1"/>
      <c r="BR92" s="1"/>
      <c r="BS92" s="1"/>
      <c r="BT92" s="1"/>
    </row>
    <row r="93" spans="1:72" ht="15.75" x14ac:dyDescent="0.25">
      <c r="A93" s="16"/>
      <c r="B93" s="16"/>
      <c r="C93" s="16"/>
      <c r="D93" s="16"/>
      <c r="E93" s="27"/>
      <c r="F93" s="4" t="s">
        <v>115</v>
      </c>
      <c r="G93" s="77"/>
      <c r="H93" s="13">
        <f>H91+H92</f>
        <v>6358.9645600000003</v>
      </c>
      <c r="I93" s="80"/>
      <c r="J93" s="80" t="s">
        <v>114</v>
      </c>
      <c r="K93" s="6">
        <f>+H17</f>
        <v>0</v>
      </c>
      <c r="L93" s="112"/>
      <c r="M93" s="135"/>
      <c r="N93" s="7"/>
      <c r="O93" s="16"/>
      <c r="P93" s="16"/>
      <c r="Q93" s="16"/>
      <c r="R93" s="16"/>
      <c r="S93" s="16"/>
      <c r="T93" s="16"/>
      <c r="U93" s="16"/>
      <c r="V93" s="16"/>
      <c r="W93" s="16"/>
      <c r="X93" s="16"/>
      <c r="Y93" s="1"/>
      <c r="Z93" s="120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/>
      <c r="AV93" s="1"/>
      <c r="AW93" s="1"/>
      <c r="AX93" s="1"/>
      <c r="AY93" s="1"/>
      <c r="AZ93" s="1"/>
      <c r="BA93" s="1"/>
      <c r="BB93" s="1"/>
      <c r="BC93" s="1"/>
      <c r="BD93" s="1"/>
      <c r="BE93" s="1"/>
      <c r="BF93" s="1"/>
      <c r="BG93" s="1"/>
      <c r="BH93" s="1"/>
      <c r="BI93" s="1"/>
      <c r="BJ93" s="1"/>
      <c r="BK93" s="1"/>
      <c r="BL93" s="1"/>
      <c r="BM93" s="1"/>
      <c r="BN93" s="1"/>
      <c r="BO93" s="1"/>
      <c r="BP93" s="1"/>
      <c r="BQ93" s="1"/>
      <c r="BR93" s="1"/>
      <c r="BS93" s="1"/>
      <c r="BT93" s="1"/>
    </row>
    <row r="94" spans="1:72" ht="15.75" x14ac:dyDescent="0.25">
      <c r="A94" s="16"/>
      <c r="B94" s="16"/>
      <c r="C94" s="16"/>
      <c r="D94" s="16"/>
      <c r="E94" s="16"/>
      <c r="F94" s="124" t="s">
        <v>117</v>
      </c>
      <c r="G94" s="82">
        <v>0.2</v>
      </c>
      <c r="H94" s="13">
        <f>H93*G94</f>
        <v>1271.7929120000001</v>
      </c>
      <c r="I94" s="80"/>
      <c r="J94" s="80" t="s">
        <v>116</v>
      </c>
      <c r="K94" s="6">
        <f>H44</f>
        <v>1834</v>
      </c>
      <c r="L94" s="112"/>
      <c r="M94" s="135"/>
      <c r="N94" s="7"/>
      <c r="O94" s="16"/>
      <c r="P94" s="16"/>
      <c r="Q94" s="16"/>
      <c r="R94" s="16"/>
      <c r="S94" s="16"/>
      <c r="T94" s="16"/>
      <c r="U94" s="16"/>
      <c r="V94" s="16"/>
      <c r="W94" s="16"/>
      <c r="X94" s="16"/>
      <c r="Y94" s="1"/>
      <c r="Z94" s="120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/>
      <c r="AV94" s="1"/>
      <c r="AW94" s="1"/>
      <c r="AX94" s="1"/>
      <c r="AY94" s="1"/>
      <c r="AZ94" s="1"/>
      <c r="BA94" s="1"/>
      <c r="BB94" s="1"/>
      <c r="BC94" s="1"/>
      <c r="BD94" s="1"/>
      <c r="BE94" s="1"/>
      <c r="BF94" s="1"/>
      <c r="BG94" s="1"/>
      <c r="BH94" s="1"/>
      <c r="BI94" s="1"/>
      <c r="BJ94" s="1"/>
      <c r="BK94" s="1"/>
      <c r="BL94" s="1"/>
      <c r="BM94" s="1"/>
      <c r="BN94" s="1"/>
      <c r="BO94" s="1"/>
      <c r="BP94" s="1"/>
      <c r="BQ94" s="1"/>
      <c r="BR94" s="1"/>
      <c r="BS94" s="1"/>
      <c r="BT94" s="1"/>
    </row>
    <row r="95" spans="1:72" ht="15.75" x14ac:dyDescent="0.25">
      <c r="A95" s="16"/>
      <c r="B95" s="16"/>
      <c r="C95" s="16"/>
      <c r="D95" s="16"/>
      <c r="E95" s="16"/>
      <c r="F95" s="124" t="s">
        <v>119</v>
      </c>
      <c r="G95" s="74"/>
      <c r="H95" s="85">
        <f>H93+H94</f>
        <v>7630.7574720000002</v>
      </c>
      <c r="I95" s="13"/>
      <c r="J95" s="80" t="s">
        <v>118</v>
      </c>
      <c r="K95" s="6">
        <f>H59-H46</f>
        <v>4614.0976000000001</v>
      </c>
      <c r="L95" s="112"/>
      <c r="M95" s="84" t="s">
        <v>127</v>
      </c>
      <c r="N95" s="7"/>
      <c r="O95" s="16"/>
      <c r="P95" s="16"/>
      <c r="Q95" s="16"/>
      <c r="R95" s="16"/>
      <c r="S95" s="16"/>
      <c r="T95" s="16"/>
      <c r="U95" s="16"/>
      <c r="V95" s="16"/>
      <c r="W95" s="16"/>
      <c r="X95" s="16"/>
      <c r="Y95" s="1"/>
      <c r="Z95" s="120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  <c r="AV95" s="1"/>
      <c r="AW95" s="1"/>
      <c r="AX95" s="1"/>
      <c r="AY95" s="1"/>
      <c r="AZ95" s="1"/>
      <c r="BA95" s="1"/>
      <c r="BB95" s="1"/>
      <c r="BC95" s="1"/>
      <c r="BD95" s="1"/>
      <c r="BE95" s="1"/>
      <c r="BF95" s="1"/>
      <c r="BG95" s="1"/>
      <c r="BH95" s="1"/>
      <c r="BI95" s="1"/>
      <c r="BJ95" s="1"/>
      <c r="BK95" s="1"/>
      <c r="BL95" s="1"/>
      <c r="BM95" s="1"/>
      <c r="BN95" s="1"/>
      <c r="BO95" s="1"/>
      <c r="BP95" s="1"/>
      <c r="BQ95" s="1"/>
      <c r="BR95" s="1"/>
      <c r="BS95" s="1"/>
      <c r="BT95" s="1"/>
    </row>
    <row r="96" spans="1:72" ht="15.75" x14ac:dyDescent="0.25">
      <c r="A96" s="16"/>
      <c r="B96" s="16"/>
      <c r="C96" s="16"/>
      <c r="D96" s="16"/>
      <c r="E96" s="16"/>
      <c r="F96" s="124" t="s">
        <v>125</v>
      </c>
      <c r="G96" s="87"/>
      <c r="H96" s="97">
        <f>MAT!H121</f>
        <v>5914.26</v>
      </c>
      <c r="I96" s="88" t="s">
        <v>120</v>
      </c>
      <c r="J96" s="86" t="s">
        <v>56</v>
      </c>
      <c r="K96" s="6">
        <f>SUM(K93:K95)</f>
        <v>6448.0976000000001</v>
      </c>
      <c r="L96" s="113">
        <f>H95-H94</f>
        <v>6358.9645600000003</v>
      </c>
      <c r="M96" s="114">
        <f>+(L96-K96)*0.3</f>
        <v>-26.739911999999912</v>
      </c>
      <c r="N96" s="7"/>
      <c r="O96" s="16"/>
      <c r="P96" s="16"/>
      <c r="Q96" s="16"/>
      <c r="R96" s="16"/>
      <c r="S96" s="16"/>
      <c r="T96" s="16"/>
      <c r="U96" s="16"/>
      <c r="V96" s="16"/>
      <c r="W96" s="16"/>
      <c r="X96" s="16"/>
      <c r="Y96" s="1"/>
      <c r="Z96" s="120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  <c r="AV96" s="1"/>
      <c r="AW96" s="1"/>
      <c r="AX96" s="1"/>
      <c r="AY96" s="1"/>
      <c r="AZ96" s="1"/>
      <c r="BA96" s="1"/>
      <c r="BB96" s="1"/>
      <c r="BC96" s="1"/>
      <c r="BD96" s="1"/>
      <c r="BE96" s="1"/>
      <c r="BF96" s="1"/>
      <c r="BG96" s="1"/>
      <c r="BH96" s="1"/>
      <c r="BI96" s="1"/>
      <c r="BJ96" s="1"/>
      <c r="BK96" s="1"/>
      <c r="BL96" s="1"/>
      <c r="BM96" s="1"/>
      <c r="BN96" s="1"/>
      <c r="BO96" s="1"/>
      <c r="BP96" s="1"/>
      <c r="BQ96" s="1"/>
      <c r="BR96" s="1"/>
      <c r="BS96" s="1"/>
      <c r="BT96" s="1"/>
    </row>
    <row r="97" spans="1:72" ht="15.75" x14ac:dyDescent="0.25">
      <c r="A97" s="16"/>
      <c r="B97" s="16" t="s">
        <v>121</v>
      </c>
      <c r="C97" s="16"/>
      <c r="D97" s="16"/>
      <c r="E97" s="16"/>
      <c r="F97" s="124" t="s">
        <v>126</v>
      </c>
      <c r="G97" s="90"/>
      <c r="H97" s="98">
        <f>H95+H96</f>
        <v>13545.017472</v>
      </c>
      <c r="I97" s="13"/>
      <c r="J97" s="89">
        <f>H95/H89</f>
        <v>1.6068</v>
      </c>
      <c r="K97" s="7"/>
      <c r="L97" s="7"/>
      <c r="M97" s="23"/>
      <c r="N97" s="7"/>
      <c r="O97" s="16"/>
      <c r="P97" s="16"/>
      <c r="Q97" s="16"/>
      <c r="R97" s="16"/>
      <c r="S97" s="16"/>
      <c r="T97" s="16"/>
      <c r="U97" s="16"/>
      <c r="V97" s="16"/>
      <c r="W97" s="16"/>
      <c r="X97" s="16"/>
      <c r="Y97" s="1"/>
      <c r="Z97" s="120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1"/>
      <c r="AV97" s="1"/>
      <c r="AW97" s="1"/>
      <c r="AX97" s="1"/>
      <c r="AY97" s="1"/>
      <c r="AZ97" s="1"/>
      <c r="BA97" s="1"/>
      <c r="BB97" s="1"/>
      <c r="BC97" s="1"/>
      <c r="BD97" s="1"/>
      <c r="BE97" s="1"/>
      <c r="BF97" s="1"/>
      <c r="BG97" s="1"/>
      <c r="BH97" s="1"/>
      <c r="BI97" s="1"/>
      <c r="BJ97" s="1"/>
      <c r="BK97" s="1"/>
      <c r="BL97" s="1"/>
      <c r="BM97" s="1"/>
      <c r="BN97" s="1"/>
      <c r="BO97" s="1"/>
      <c r="BP97" s="1"/>
      <c r="BQ97" s="1"/>
      <c r="BR97" s="1"/>
      <c r="BS97" s="1"/>
      <c r="BT97" s="1"/>
    </row>
    <row r="98" spans="1:72" ht="15.75" x14ac:dyDescent="0.25">
      <c r="A98" s="16"/>
      <c r="B98" s="139" t="s">
        <v>122</v>
      </c>
      <c r="C98" s="139" t="s">
        <v>123</v>
      </c>
      <c r="D98" s="140" t="s">
        <v>124</v>
      </c>
      <c r="E98" s="132"/>
      <c r="F98" s="7"/>
      <c r="G98" s="92"/>
      <c r="H98" s="9"/>
      <c r="I98" s="7"/>
      <c r="J98" s="7"/>
      <c r="K98" s="7"/>
      <c r="L98" s="7"/>
      <c r="M98" s="9"/>
      <c r="N98" s="91"/>
      <c r="O98" s="16"/>
      <c r="P98" s="16"/>
      <c r="Q98" s="16"/>
      <c r="R98" s="16"/>
      <c r="S98" s="16"/>
      <c r="T98" s="16"/>
      <c r="U98" s="16"/>
      <c r="V98" s="16"/>
      <c r="W98" s="16"/>
      <c r="X98" s="16"/>
      <c r="Y98" s="1"/>
      <c r="Z98" s="120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  <c r="AV98" s="1"/>
      <c r="AW98" s="1"/>
      <c r="AX98" s="1"/>
      <c r="AY98" s="1"/>
      <c r="AZ98" s="1"/>
      <c r="BA98" s="1"/>
      <c r="BB98" s="1"/>
      <c r="BC98" s="1"/>
      <c r="BD98" s="1"/>
      <c r="BE98" s="1"/>
      <c r="BF98" s="1"/>
      <c r="BG98" s="1"/>
      <c r="BH98" s="1"/>
      <c r="BI98" s="1"/>
      <c r="BJ98" s="1"/>
      <c r="BK98" s="1"/>
      <c r="BL98" s="1"/>
      <c r="BM98" s="1"/>
      <c r="BN98" s="1"/>
      <c r="BO98" s="1"/>
      <c r="BP98" s="1"/>
      <c r="BQ98" s="1"/>
      <c r="BR98" s="1"/>
      <c r="BS98" s="1"/>
      <c r="BT98" s="1"/>
    </row>
    <row r="99" spans="1:72" ht="15.75" x14ac:dyDescent="0.25">
      <c r="A99" s="16"/>
      <c r="B99" s="141">
        <v>0.27500000000000002</v>
      </c>
      <c r="C99" s="141">
        <v>0.05</v>
      </c>
      <c r="D99" s="141">
        <f>B99+C99</f>
        <v>0.32500000000000001</v>
      </c>
      <c r="E99" s="16"/>
      <c r="F99" s="92"/>
      <c r="G99" s="93"/>
      <c r="H99" s="9"/>
      <c r="I99" s="7"/>
      <c r="J99" s="7"/>
      <c r="K99" s="7"/>
      <c r="L99" s="7"/>
      <c r="M99" s="9"/>
      <c r="N99" s="7"/>
      <c r="O99" s="16"/>
      <c r="P99" s="16"/>
      <c r="Q99" s="16"/>
      <c r="R99" s="16"/>
      <c r="S99" s="16"/>
      <c r="T99" s="16"/>
      <c r="U99" s="16"/>
      <c r="V99" s="16"/>
      <c r="W99" s="16"/>
      <c r="X99" s="16"/>
      <c r="Y99" s="1"/>
      <c r="Z99" s="120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  <c r="AV99" s="1"/>
      <c r="AW99" s="1"/>
      <c r="AX99" s="1"/>
      <c r="AY99" s="1"/>
      <c r="AZ99" s="1"/>
      <c r="BA99" s="1"/>
      <c r="BB99" s="1"/>
      <c r="BC99" s="1"/>
      <c r="BD99" s="1"/>
      <c r="BE99" s="1"/>
      <c r="BF99" s="1"/>
      <c r="BG99" s="1"/>
      <c r="BH99" s="1"/>
      <c r="BI99" s="1"/>
      <c r="BJ99" s="1"/>
      <c r="BK99" s="1"/>
      <c r="BL99" s="1"/>
      <c r="BM99" s="1"/>
      <c r="BN99" s="1"/>
      <c r="BO99" s="1"/>
      <c r="BP99" s="1"/>
      <c r="BQ99" s="1"/>
      <c r="BR99" s="1"/>
      <c r="BS99" s="1"/>
      <c r="BT99" s="1"/>
    </row>
    <row r="100" spans="1:72" ht="15.75" x14ac:dyDescent="0.25">
      <c r="A100" s="16"/>
      <c r="B100" s="16"/>
      <c r="C100" s="16"/>
      <c r="D100" s="16"/>
      <c r="E100" s="16"/>
      <c r="F100" s="23"/>
      <c r="G100" s="94"/>
      <c r="H100" s="93"/>
      <c r="I100" s="27"/>
      <c r="J100" s="7"/>
      <c r="K100" s="7"/>
      <c r="L100" s="7"/>
      <c r="M100" s="7"/>
      <c r="N100" s="7"/>
      <c r="O100" s="16"/>
      <c r="P100" s="16"/>
      <c r="Q100" s="16"/>
      <c r="R100" s="16"/>
      <c r="S100" s="16"/>
      <c r="T100" s="16"/>
      <c r="U100" s="16"/>
      <c r="V100" s="16"/>
      <c r="W100" s="16"/>
      <c r="X100" s="16"/>
      <c r="Y100" s="1"/>
      <c r="Z100" s="120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  <c r="AV100" s="1"/>
      <c r="AW100" s="1"/>
      <c r="AX100" s="1"/>
      <c r="AY100" s="1"/>
      <c r="AZ100" s="1"/>
      <c r="BA100" s="1"/>
      <c r="BB100" s="1"/>
      <c r="BC100" s="1"/>
      <c r="BD100" s="1"/>
      <c r="BE100" s="1"/>
      <c r="BF100" s="1"/>
      <c r="BG100" s="1"/>
      <c r="BH100" s="1"/>
      <c r="BI100" s="1"/>
      <c r="BJ100" s="1"/>
      <c r="BK100" s="1"/>
      <c r="BL100" s="1"/>
      <c r="BM100" s="1"/>
      <c r="BN100" s="1"/>
      <c r="BO100" s="1"/>
      <c r="BP100" s="1"/>
      <c r="BQ100" s="1"/>
      <c r="BR100" s="1"/>
      <c r="BS100" s="1"/>
      <c r="BT100" s="1"/>
    </row>
    <row r="101" spans="1:72" ht="15.75" x14ac:dyDescent="0.25">
      <c r="A101" s="1"/>
      <c r="B101" s="1"/>
      <c r="C101" s="1"/>
      <c r="D101" s="1"/>
      <c r="E101" s="1"/>
      <c r="F101" s="23"/>
      <c r="G101" s="94"/>
      <c r="H101" s="93"/>
      <c r="I101" s="95"/>
      <c r="J101" s="18"/>
      <c r="K101" s="18"/>
      <c r="L101" s="18"/>
      <c r="M101" s="18"/>
      <c r="N101" s="18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20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/>
      <c r="AV101" s="1"/>
      <c r="AW101" s="1"/>
      <c r="AX101" s="1"/>
      <c r="AY101" s="1"/>
      <c r="AZ101" s="1"/>
      <c r="BA101" s="1"/>
      <c r="BB101" s="1"/>
      <c r="BC101" s="1"/>
      <c r="BD101" s="1"/>
      <c r="BE101" s="1"/>
      <c r="BF101" s="1"/>
      <c r="BG101" s="1"/>
      <c r="BH101" s="1"/>
      <c r="BI101" s="1"/>
      <c r="BJ101" s="1"/>
      <c r="BK101" s="1"/>
      <c r="BL101" s="1"/>
      <c r="BM101" s="1"/>
      <c r="BN101" s="1"/>
      <c r="BO101" s="1"/>
      <c r="BP101" s="1"/>
      <c r="BQ101" s="1"/>
      <c r="BR101" s="1"/>
      <c r="BS101" s="1"/>
      <c r="BT101" s="1"/>
    </row>
    <row r="102" spans="1:72" ht="15.75" x14ac:dyDescent="0.25">
      <c r="A102" s="1"/>
      <c r="B102" s="1"/>
      <c r="C102" s="1"/>
      <c r="D102" s="1"/>
      <c r="E102" s="1"/>
      <c r="F102" s="23"/>
      <c r="G102" s="76"/>
      <c r="H102" s="76"/>
      <c r="I102" s="18"/>
      <c r="J102" s="18"/>
      <c r="K102" s="18"/>
      <c r="L102" s="18"/>
      <c r="M102" s="18"/>
      <c r="N102" s="18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20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/>
      <c r="AV102" s="1"/>
      <c r="AW102" s="1"/>
      <c r="AX102" s="1"/>
      <c r="AY102" s="1"/>
      <c r="AZ102" s="1"/>
      <c r="BA102" s="1"/>
      <c r="BB102" s="1"/>
      <c r="BC102" s="1"/>
      <c r="BD102" s="1"/>
      <c r="BE102" s="1"/>
      <c r="BF102" s="1"/>
      <c r="BG102" s="1"/>
      <c r="BH102" s="1"/>
      <c r="BI102" s="1"/>
      <c r="BJ102" s="1"/>
      <c r="BK102" s="1"/>
      <c r="BL102" s="1"/>
      <c r="BM102" s="1"/>
      <c r="BN102" s="1"/>
      <c r="BO102" s="1"/>
      <c r="BP102" s="1"/>
      <c r="BQ102" s="1"/>
      <c r="BR102" s="1"/>
      <c r="BS102" s="1"/>
      <c r="BT102" s="1"/>
    </row>
    <row r="103" spans="1:72" ht="15.75" x14ac:dyDescent="0.25">
      <c r="A103" s="1"/>
      <c r="B103" s="1"/>
      <c r="C103" s="1"/>
      <c r="D103" s="1"/>
      <c r="E103" s="1"/>
      <c r="F103" s="23"/>
      <c r="G103" s="5"/>
      <c r="H103" s="1"/>
      <c r="I103" s="1"/>
      <c r="J103" s="18"/>
      <c r="K103" s="18"/>
      <c r="L103" s="18"/>
      <c r="M103" s="18"/>
      <c r="N103" s="18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20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  <c r="AV103" s="1"/>
      <c r="AW103" s="1"/>
      <c r="AX103" s="1"/>
      <c r="AY103" s="1"/>
      <c r="AZ103" s="1"/>
      <c r="BA103" s="1"/>
      <c r="BB103" s="1"/>
      <c r="BC103" s="1"/>
      <c r="BD103" s="1"/>
      <c r="BE103" s="1"/>
      <c r="BF103" s="1"/>
      <c r="BG103" s="1"/>
      <c r="BH103" s="1"/>
      <c r="BI103" s="1"/>
      <c r="BJ103" s="1"/>
      <c r="BK103" s="1"/>
      <c r="BL103" s="1"/>
      <c r="BM103" s="1"/>
      <c r="BN103" s="1"/>
      <c r="BO103" s="1"/>
      <c r="BP103" s="1"/>
      <c r="BQ103" s="1"/>
      <c r="BR103" s="1"/>
      <c r="BS103" s="1"/>
      <c r="BT103" s="1"/>
    </row>
    <row r="104" spans="1:72" ht="15.75" x14ac:dyDescent="0.25">
      <c r="A104" s="1"/>
      <c r="B104" s="1"/>
      <c r="C104" s="1"/>
      <c r="D104" s="1"/>
      <c r="E104" s="1"/>
      <c r="F104" s="1"/>
      <c r="G104" s="18"/>
      <c r="H104" s="4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20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  <c r="AV104" s="1"/>
      <c r="AW104" s="1"/>
      <c r="AX104" s="1"/>
      <c r="AY104" s="1"/>
      <c r="AZ104" s="1"/>
      <c r="BA104" s="1"/>
      <c r="BB104" s="1"/>
      <c r="BC104" s="1"/>
      <c r="BD104" s="1"/>
      <c r="BE104" s="1"/>
      <c r="BF104" s="1"/>
      <c r="BG104" s="1"/>
      <c r="BH104" s="1"/>
      <c r="BI104" s="1"/>
      <c r="BJ104" s="1"/>
      <c r="BK104" s="1"/>
      <c r="BL104" s="1"/>
      <c r="BM104" s="1"/>
      <c r="BN104" s="1"/>
      <c r="BO104" s="1"/>
      <c r="BP104" s="1"/>
      <c r="BQ104" s="1"/>
      <c r="BR104" s="1"/>
      <c r="BS104" s="1"/>
      <c r="BT104" s="1"/>
    </row>
    <row r="105" spans="1:72" ht="15.75" x14ac:dyDescent="0.25">
      <c r="A105" s="1"/>
      <c r="B105" s="1"/>
      <c r="C105" s="96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20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  <c r="AV105" s="1"/>
      <c r="AW105" s="1"/>
      <c r="AX105" s="1"/>
      <c r="AY105" s="1"/>
      <c r="AZ105" s="1"/>
      <c r="BA105" s="1"/>
      <c r="BB105" s="1"/>
      <c r="BC105" s="1"/>
      <c r="BD105" s="1"/>
      <c r="BE105" s="1"/>
      <c r="BF105" s="1"/>
      <c r="BG105" s="1"/>
      <c r="BH105" s="1"/>
      <c r="BI105" s="1"/>
      <c r="BJ105" s="1"/>
      <c r="BK105" s="1"/>
      <c r="BL105" s="1"/>
      <c r="BM105" s="1"/>
      <c r="BN105" s="1"/>
      <c r="BO105" s="1"/>
      <c r="BP105" s="1"/>
      <c r="BQ105" s="1"/>
      <c r="BR105" s="1"/>
      <c r="BS105" s="1"/>
      <c r="BT105" s="1"/>
    </row>
    <row r="106" spans="1:72" ht="15.75" x14ac:dyDescent="0.25">
      <c r="A106" s="1"/>
      <c r="B106" s="1"/>
      <c r="C106" s="96"/>
      <c r="D106" s="1"/>
      <c r="E106" s="1"/>
      <c r="F106" s="1"/>
      <c r="G106" s="18"/>
      <c r="H106" s="4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20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1"/>
      <c r="AV106" s="1"/>
      <c r="AW106" s="1"/>
      <c r="AX106" s="1"/>
      <c r="AY106" s="1"/>
      <c r="AZ106" s="1"/>
      <c r="BA106" s="1"/>
      <c r="BB106" s="1"/>
      <c r="BC106" s="1"/>
      <c r="BD106" s="1"/>
      <c r="BE106" s="1"/>
      <c r="BF106" s="1"/>
      <c r="BG106" s="1"/>
      <c r="BH106" s="1"/>
      <c r="BI106" s="1"/>
      <c r="BJ106" s="1"/>
      <c r="BK106" s="1"/>
      <c r="BL106" s="1"/>
      <c r="BM106" s="1"/>
      <c r="BN106" s="1"/>
      <c r="BO106" s="1"/>
      <c r="BP106" s="1"/>
      <c r="BQ106" s="1"/>
      <c r="BR106" s="1"/>
      <c r="BS106" s="1"/>
      <c r="BT106" s="1"/>
    </row>
    <row r="107" spans="1:72" ht="15.75" x14ac:dyDescent="0.25">
      <c r="A107" s="1"/>
      <c r="B107" s="1"/>
      <c r="C107" s="96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20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  <c r="AU107" s="1"/>
      <c r="AV107" s="1"/>
      <c r="AW107" s="1"/>
      <c r="AX107" s="1"/>
      <c r="AY107" s="1"/>
      <c r="AZ107" s="1"/>
      <c r="BA107" s="1"/>
      <c r="BB107" s="1"/>
      <c r="BC107" s="1"/>
      <c r="BD107" s="1"/>
      <c r="BE107" s="1"/>
      <c r="BF107" s="1"/>
      <c r="BG107" s="1"/>
      <c r="BH107" s="1"/>
      <c r="BI107" s="1"/>
      <c r="BJ107" s="1"/>
      <c r="BK107" s="1"/>
      <c r="BL107" s="1"/>
      <c r="BM107" s="1"/>
      <c r="BN107" s="1"/>
      <c r="BO107" s="1"/>
      <c r="BP107" s="1"/>
      <c r="BQ107" s="1"/>
      <c r="BR107" s="1"/>
      <c r="BS107" s="1"/>
      <c r="BT107" s="1"/>
    </row>
    <row r="108" spans="1:72" ht="15.75" x14ac:dyDescent="0.25">
      <c r="A108" s="1"/>
      <c r="B108" s="1"/>
      <c r="C108" s="96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20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  <c r="AV108" s="1"/>
      <c r="AW108" s="1"/>
      <c r="AX108" s="1"/>
      <c r="AY108" s="1"/>
      <c r="AZ108" s="1"/>
      <c r="BA108" s="1"/>
      <c r="BB108" s="1"/>
      <c r="BC108" s="1"/>
      <c r="BD108" s="1"/>
      <c r="BE108" s="1"/>
      <c r="BF108" s="1"/>
      <c r="BG108" s="1"/>
      <c r="BH108" s="1"/>
      <c r="BI108" s="1"/>
      <c r="BJ108" s="1"/>
      <c r="BK108" s="1"/>
      <c r="BL108" s="1"/>
      <c r="BM108" s="1"/>
      <c r="BN108" s="1"/>
      <c r="BO108" s="1"/>
      <c r="BP108" s="1"/>
      <c r="BQ108" s="1"/>
      <c r="BR108" s="1"/>
      <c r="BS108" s="1"/>
      <c r="BT108" s="1"/>
    </row>
    <row r="109" spans="1:72" ht="15.75" x14ac:dyDescent="0.25">
      <c r="A109" s="1"/>
      <c r="B109" s="1"/>
      <c r="C109" s="40"/>
      <c r="D109" s="96"/>
      <c r="E109" s="96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20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/>
      <c r="AV109" s="1"/>
      <c r="AW109" s="1"/>
      <c r="AX109" s="1"/>
      <c r="AY109" s="1"/>
      <c r="AZ109" s="1"/>
      <c r="BA109" s="1"/>
      <c r="BB109" s="1"/>
      <c r="BC109" s="1"/>
      <c r="BD109" s="1"/>
      <c r="BE109" s="1"/>
      <c r="BF109" s="1"/>
      <c r="BG109" s="1"/>
      <c r="BH109" s="1"/>
      <c r="BI109" s="1"/>
      <c r="BJ109" s="1"/>
      <c r="BK109" s="1"/>
      <c r="BL109" s="1"/>
      <c r="BM109" s="1"/>
      <c r="BN109" s="1"/>
      <c r="BO109" s="1"/>
      <c r="BP109" s="1"/>
      <c r="BQ109" s="1"/>
      <c r="BR109" s="1"/>
      <c r="BS109" s="1"/>
      <c r="BT109" s="1"/>
    </row>
    <row r="110" spans="1:72" ht="15.75" x14ac:dyDescent="0.25">
      <c r="A110" s="1"/>
      <c r="B110" s="96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20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  <c r="AV110" s="1"/>
      <c r="AW110" s="1"/>
      <c r="AX110" s="1"/>
      <c r="AY110" s="1"/>
      <c r="AZ110" s="1"/>
      <c r="BA110" s="1"/>
      <c r="BB110" s="1"/>
      <c r="BC110" s="1"/>
      <c r="BD110" s="1"/>
      <c r="BE110" s="1"/>
      <c r="BF110" s="1"/>
      <c r="BG110" s="1"/>
      <c r="BH110" s="1"/>
      <c r="BI110" s="1"/>
      <c r="BJ110" s="1"/>
      <c r="BK110" s="1"/>
      <c r="BL110" s="1"/>
      <c r="BM110" s="1"/>
      <c r="BN110" s="1"/>
      <c r="BO110" s="1"/>
      <c r="BP110" s="1"/>
      <c r="BQ110" s="1"/>
      <c r="BR110" s="1"/>
      <c r="BS110" s="1"/>
      <c r="BT110" s="1"/>
    </row>
    <row r="111" spans="1:72" ht="15.75" x14ac:dyDescent="0.25">
      <c r="A111" s="1"/>
      <c r="B111" s="96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20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/>
      <c r="AV111" s="1"/>
      <c r="AW111" s="1"/>
      <c r="AX111" s="1"/>
      <c r="AY111" s="1"/>
      <c r="AZ111" s="1"/>
      <c r="BA111" s="1"/>
      <c r="BB111" s="1"/>
      <c r="BC111" s="1"/>
      <c r="BD111" s="1"/>
      <c r="BE111" s="1"/>
      <c r="BF111" s="1"/>
      <c r="BG111" s="1"/>
      <c r="BH111" s="1"/>
      <c r="BI111" s="1"/>
      <c r="BJ111" s="1"/>
      <c r="BK111" s="1"/>
      <c r="BL111" s="1"/>
      <c r="BM111" s="1"/>
      <c r="BN111" s="1"/>
      <c r="BO111" s="1"/>
      <c r="BP111" s="1"/>
      <c r="BQ111" s="1"/>
      <c r="BR111" s="1"/>
      <c r="BS111" s="1"/>
      <c r="BT111" s="1"/>
    </row>
    <row r="112" spans="1:72" ht="15.75" x14ac:dyDescent="0.25">
      <c r="A112" s="1"/>
      <c r="B112" s="96"/>
      <c r="C112" s="96"/>
      <c r="D112" s="96"/>
      <c r="E112" s="96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20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  <c r="AV112" s="1"/>
      <c r="AW112" s="1"/>
      <c r="AX112" s="1"/>
      <c r="AY112" s="1"/>
      <c r="AZ112" s="1"/>
      <c r="BA112" s="1"/>
      <c r="BB112" s="1"/>
      <c r="BC112" s="1"/>
      <c r="BD112" s="1"/>
      <c r="BE112" s="1"/>
      <c r="BF112" s="1"/>
      <c r="BG112" s="1"/>
      <c r="BH112" s="1"/>
      <c r="BI112" s="1"/>
      <c r="BJ112" s="1"/>
      <c r="BK112" s="1"/>
      <c r="BL112" s="1"/>
      <c r="BM112" s="1"/>
      <c r="BN112" s="1"/>
      <c r="BO112" s="1"/>
      <c r="BP112" s="1"/>
      <c r="BQ112" s="1"/>
      <c r="BR112" s="1"/>
      <c r="BS112" s="1"/>
      <c r="BT112" s="1"/>
    </row>
    <row r="113" spans="1:72" ht="15.75" x14ac:dyDescent="0.25">
      <c r="A113" s="1"/>
      <c r="B113" s="1"/>
      <c r="C113" s="1"/>
      <c r="D113" s="1"/>
      <c r="E113" s="1"/>
      <c r="F113" s="96"/>
      <c r="G113" s="72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20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  <c r="AV113" s="1"/>
      <c r="AW113" s="1"/>
      <c r="AX113" s="1"/>
      <c r="AY113" s="1"/>
      <c r="AZ113" s="1"/>
      <c r="BA113" s="1"/>
      <c r="BB113" s="1"/>
      <c r="BC113" s="1"/>
      <c r="BD113" s="1"/>
      <c r="BE113" s="1"/>
      <c r="BF113" s="1"/>
      <c r="BG113" s="1"/>
      <c r="BH113" s="1"/>
      <c r="BI113" s="1"/>
      <c r="BJ113" s="1"/>
      <c r="BK113" s="1"/>
      <c r="BL113" s="1"/>
      <c r="BM113" s="1"/>
      <c r="BN113" s="1"/>
      <c r="BO113" s="1"/>
      <c r="BP113" s="1"/>
      <c r="BQ113" s="1"/>
      <c r="BR113" s="1"/>
      <c r="BS113" s="1"/>
      <c r="BT113" s="1"/>
    </row>
    <row r="114" spans="1:72" ht="15.75" x14ac:dyDescent="0.25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20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  <c r="AV114" s="1"/>
      <c r="AW114" s="1"/>
      <c r="AX114" s="1"/>
      <c r="AY114" s="1"/>
      <c r="AZ114" s="1"/>
      <c r="BA114" s="1"/>
      <c r="BB114" s="1"/>
      <c r="BC114" s="1"/>
      <c r="BD114" s="1"/>
      <c r="BE114" s="1"/>
      <c r="BF114" s="1"/>
      <c r="BG114" s="1"/>
      <c r="BH114" s="1"/>
      <c r="BI114" s="1"/>
      <c r="BJ114" s="1"/>
      <c r="BK114" s="1"/>
      <c r="BL114" s="1"/>
      <c r="BM114" s="1"/>
      <c r="BN114" s="1"/>
      <c r="BO114" s="1"/>
      <c r="BP114" s="1"/>
      <c r="BQ114" s="1"/>
      <c r="BR114" s="1"/>
      <c r="BS114" s="1"/>
      <c r="BT114" s="1"/>
    </row>
    <row r="115" spans="1:72" ht="15.75" x14ac:dyDescent="0.2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20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1"/>
      <c r="AV115" s="1"/>
      <c r="AW115" s="1"/>
      <c r="AX115" s="1"/>
      <c r="AY115" s="1"/>
      <c r="AZ115" s="1"/>
      <c r="BA115" s="1"/>
      <c r="BB115" s="1"/>
      <c r="BC115" s="1"/>
      <c r="BD115" s="1"/>
      <c r="BE115" s="1"/>
      <c r="BF115" s="1"/>
      <c r="BG115" s="1"/>
      <c r="BH115" s="1"/>
      <c r="BI115" s="1"/>
      <c r="BJ115" s="1"/>
      <c r="BK115" s="1"/>
      <c r="BL115" s="1"/>
      <c r="BM115" s="1"/>
      <c r="BN115" s="1"/>
      <c r="BO115" s="1"/>
      <c r="BP115" s="1"/>
      <c r="BQ115" s="1"/>
      <c r="BR115" s="1"/>
      <c r="BS115" s="1"/>
      <c r="BT115" s="1"/>
    </row>
    <row r="116" spans="1:72" ht="15.75" x14ac:dyDescent="0.25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20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  <c r="AV116" s="1"/>
      <c r="AW116" s="1"/>
      <c r="AX116" s="1"/>
      <c r="AY116" s="1"/>
      <c r="AZ116" s="1"/>
      <c r="BA116" s="1"/>
      <c r="BB116" s="1"/>
      <c r="BC116" s="1"/>
      <c r="BD116" s="1"/>
      <c r="BE116" s="1"/>
      <c r="BF116" s="1"/>
      <c r="BG116" s="1"/>
      <c r="BH116" s="1"/>
      <c r="BI116" s="1"/>
      <c r="BJ116" s="1"/>
      <c r="BK116" s="1"/>
      <c r="BL116" s="1"/>
      <c r="BM116" s="1"/>
      <c r="BN116" s="1"/>
      <c r="BO116" s="1"/>
      <c r="BP116" s="1"/>
      <c r="BQ116" s="1"/>
      <c r="BR116" s="1"/>
      <c r="BS116" s="1"/>
      <c r="BT116" s="1"/>
    </row>
    <row r="117" spans="1:72" ht="15.75" x14ac:dyDescent="0.25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20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  <c r="AV117" s="1"/>
      <c r="AW117" s="1"/>
      <c r="AX117" s="1"/>
      <c r="AY117" s="1"/>
      <c r="AZ117" s="1"/>
      <c r="BA117" s="1"/>
      <c r="BB117" s="1"/>
      <c r="BC117" s="1"/>
      <c r="BD117" s="1"/>
      <c r="BE117" s="1"/>
      <c r="BF117" s="1"/>
      <c r="BG117" s="1"/>
      <c r="BH117" s="1"/>
      <c r="BI117" s="1"/>
      <c r="BJ117" s="1"/>
      <c r="BK117" s="1"/>
      <c r="BL117" s="1"/>
      <c r="BM117" s="1"/>
      <c r="BN117" s="1"/>
      <c r="BO117" s="1"/>
      <c r="BP117" s="1"/>
      <c r="BQ117" s="1"/>
      <c r="BR117" s="1"/>
      <c r="BS117" s="1"/>
      <c r="BT117" s="1"/>
    </row>
    <row r="118" spans="1:72" ht="15.75" x14ac:dyDescent="0.25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20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  <c r="AV118" s="1"/>
      <c r="AW118" s="1"/>
      <c r="AX118" s="1"/>
      <c r="AY118" s="1"/>
      <c r="AZ118" s="1"/>
      <c r="BA118" s="1"/>
      <c r="BB118" s="1"/>
      <c r="BC118" s="1"/>
      <c r="BD118" s="1"/>
      <c r="BE118" s="1"/>
      <c r="BF118" s="1"/>
      <c r="BG118" s="1"/>
      <c r="BH118" s="1"/>
      <c r="BI118" s="1"/>
      <c r="BJ118" s="1"/>
      <c r="BK118" s="1"/>
      <c r="BL118" s="1"/>
      <c r="BM118" s="1"/>
      <c r="BN118" s="1"/>
      <c r="BO118" s="1"/>
      <c r="BP118" s="1"/>
      <c r="BQ118" s="1"/>
      <c r="BR118" s="1"/>
      <c r="BS118" s="1"/>
      <c r="BT118" s="1"/>
    </row>
    <row r="119" spans="1:72" ht="15.75" x14ac:dyDescent="0.25">
      <c r="F119" s="1"/>
      <c r="G119" s="1"/>
      <c r="H119" s="1"/>
      <c r="I119" s="1"/>
      <c r="J119" s="1"/>
      <c r="K119" s="1"/>
      <c r="L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20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/>
      <c r="AV119" s="1"/>
      <c r="AW119" s="1"/>
      <c r="AX119" s="1"/>
      <c r="AY119" s="1"/>
      <c r="AZ119" s="1"/>
      <c r="BA119" s="1"/>
      <c r="BB119" s="1"/>
      <c r="BC119" s="1"/>
      <c r="BD119" s="1"/>
      <c r="BE119" s="1"/>
      <c r="BF119" s="1"/>
      <c r="BG119" s="1"/>
      <c r="BH119" s="1"/>
      <c r="BI119" s="1"/>
      <c r="BJ119" s="1"/>
      <c r="BK119" s="1"/>
      <c r="BL119" s="1"/>
      <c r="BM119" s="1"/>
      <c r="BN119" s="1"/>
      <c r="BO119" s="1"/>
      <c r="BP119" s="1"/>
      <c r="BQ119" s="1"/>
      <c r="BR119" s="1"/>
      <c r="BS119" s="1"/>
      <c r="BT119" s="1"/>
    </row>
    <row r="120" spans="1:72" ht="15.75" x14ac:dyDescent="0.25"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20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  <c r="AV120" s="1"/>
      <c r="AW120" s="1"/>
      <c r="AX120" s="1"/>
      <c r="AY120" s="1"/>
      <c r="AZ120" s="1"/>
      <c r="BA120" s="1"/>
      <c r="BB120" s="1"/>
      <c r="BC120" s="1"/>
      <c r="BD120" s="1"/>
      <c r="BE120" s="1"/>
      <c r="BF120" s="1"/>
      <c r="BG120" s="1"/>
      <c r="BH120" s="1"/>
      <c r="BI120" s="1"/>
      <c r="BJ120" s="1"/>
      <c r="BK120" s="1"/>
      <c r="BL120" s="1"/>
      <c r="BM120" s="1"/>
      <c r="BN120" s="1"/>
      <c r="BO120" s="1"/>
      <c r="BP120" s="1"/>
      <c r="BQ120" s="1"/>
      <c r="BR120" s="1"/>
      <c r="BS120" s="1"/>
      <c r="BT120" s="1"/>
    </row>
  </sheetData>
  <mergeCells count="78">
    <mergeCell ref="A76:D76"/>
    <mergeCell ref="A75:D75"/>
    <mergeCell ref="A72:D72"/>
    <mergeCell ref="A71:D71"/>
    <mergeCell ref="A73:D73"/>
    <mergeCell ref="A74:D74"/>
    <mergeCell ref="J88:J89"/>
    <mergeCell ref="K88:K89"/>
    <mergeCell ref="N88:N89"/>
    <mergeCell ref="F89:G89"/>
    <mergeCell ref="A77:D77"/>
    <mergeCell ref="A78:D78"/>
    <mergeCell ref="A79:D79"/>
    <mergeCell ref="A80:D80"/>
    <mergeCell ref="A85:D85"/>
    <mergeCell ref="I88:I89"/>
    <mergeCell ref="A84:D84"/>
    <mergeCell ref="A82:D82"/>
    <mergeCell ref="A83:D83"/>
    <mergeCell ref="A81:D81"/>
    <mergeCell ref="A65:D65"/>
    <mergeCell ref="A66:D66"/>
    <mergeCell ref="A68:D68"/>
    <mergeCell ref="A69:D69"/>
    <mergeCell ref="A70:D70"/>
    <mergeCell ref="A67:D67"/>
    <mergeCell ref="A64:D64"/>
    <mergeCell ref="A61:D61"/>
    <mergeCell ref="A62:D62"/>
    <mergeCell ref="A63:D63"/>
    <mergeCell ref="A53:D53"/>
    <mergeCell ref="A54:D54"/>
    <mergeCell ref="A55:D55"/>
    <mergeCell ref="A56:D56"/>
    <mergeCell ref="A57:D57"/>
    <mergeCell ref="A52:D52"/>
    <mergeCell ref="A36:D36"/>
    <mergeCell ref="A38:D38"/>
    <mergeCell ref="A39:D39"/>
    <mergeCell ref="A40:D40"/>
    <mergeCell ref="A41:D41"/>
    <mergeCell ref="A42:D42"/>
    <mergeCell ref="A50:D50"/>
    <mergeCell ref="A51:D51"/>
    <mergeCell ref="A43:D43"/>
    <mergeCell ref="A46:D46"/>
    <mergeCell ref="A49:D49"/>
    <mergeCell ref="A35:D35"/>
    <mergeCell ref="A24:D24"/>
    <mergeCell ref="A25:D25"/>
    <mergeCell ref="A26:D26"/>
    <mergeCell ref="A27:D27"/>
    <mergeCell ref="A28:D28"/>
    <mergeCell ref="A29:D29"/>
    <mergeCell ref="A30:D30"/>
    <mergeCell ref="A31:D31"/>
    <mergeCell ref="A32:D32"/>
    <mergeCell ref="A33:D33"/>
    <mergeCell ref="A34:D34"/>
    <mergeCell ref="O19:U19"/>
    <mergeCell ref="V19:X19"/>
    <mergeCell ref="A20:D20"/>
    <mergeCell ref="A21:D21"/>
    <mergeCell ref="A22:D22"/>
    <mergeCell ref="A23:D23"/>
    <mergeCell ref="A11:D11"/>
    <mergeCell ref="A12:D12"/>
    <mergeCell ref="A13:D13"/>
    <mergeCell ref="A14:D14"/>
    <mergeCell ref="A15:D15"/>
    <mergeCell ref="A16:D16"/>
    <mergeCell ref="A10:D10"/>
    <mergeCell ref="A1:H1"/>
    <mergeCell ref="A2:H2"/>
    <mergeCell ref="B5:J5"/>
    <mergeCell ref="A8:D8"/>
    <mergeCell ref="A9:D9"/>
    <mergeCell ref="J8:M8"/>
  </mergeCells>
  <pageMargins left="0.7" right="0.7" top="0.75" bottom="0.75" header="0.3" footer="0.3"/>
  <pageSetup paperSize="9" scale="29" fitToWidth="0" orientation="landscape" horizontalDpi="300" verticalDpi="300" r:id="rId1"/>
  <rowBreaks count="1" manualBreakCount="1">
    <brk id="99" max="16383" man="1"/>
  </rowBreaks>
  <ignoredErrors>
    <ignoredError sqref="H91:H94 H96" formula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T144"/>
  <sheetViews>
    <sheetView view="pageBreakPreview" topLeftCell="A61" zoomScale="87" zoomScaleNormal="70" zoomScaleSheetLayoutView="87" workbookViewId="0">
      <selection activeCell="F72" sqref="F72"/>
    </sheetView>
  </sheetViews>
  <sheetFormatPr baseColWidth="10" defaultRowHeight="15" x14ac:dyDescent="0.25"/>
  <cols>
    <col min="3" max="3" width="11.42578125" customWidth="1"/>
    <col min="4" max="4" width="14.5703125" customWidth="1"/>
    <col min="5" max="6" width="11.42578125" customWidth="1"/>
    <col min="7" max="7" width="13.42578125" customWidth="1"/>
    <col min="8" max="8" width="15.42578125" customWidth="1"/>
    <col min="10" max="10" width="13" customWidth="1"/>
    <col min="11" max="12" width="13.42578125" customWidth="1"/>
    <col min="13" max="13" width="12.42578125" customWidth="1"/>
  </cols>
  <sheetData>
    <row r="1" spans="1:72" ht="18.75" x14ac:dyDescent="0.3">
      <c r="A1" s="223" t="s">
        <v>1</v>
      </c>
      <c r="B1" s="223"/>
      <c r="C1" s="223"/>
      <c r="D1" s="223"/>
      <c r="E1" s="223"/>
      <c r="F1" s="223"/>
      <c r="G1" s="223"/>
      <c r="H1" s="223"/>
      <c r="I1" s="38"/>
      <c r="J1" s="16"/>
      <c r="K1" s="16"/>
      <c r="L1" s="16"/>
      <c r="M1" s="16"/>
      <c r="N1" s="16"/>
      <c r="O1" s="16"/>
      <c r="P1" s="16"/>
      <c r="Q1" s="16"/>
      <c r="R1" s="16"/>
      <c r="S1" s="16"/>
      <c r="T1" s="16"/>
      <c r="U1" s="16"/>
      <c r="V1" s="16"/>
      <c r="W1" s="16"/>
      <c r="X1" s="16"/>
      <c r="Y1" s="1"/>
      <c r="Z1" s="120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</row>
    <row r="2" spans="1:72" ht="18.75" x14ac:dyDescent="0.3">
      <c r="A2" s="223" t="s">
        <v>2</v>
      </c>
      <c r="B2" s="223"/>
      <c r="C2" s="223"/>
      <c r="D2" s="223"/>
      <c r="E2" s="223"/>
      <c r="F2" s="223"/>
      <c r="G2" s="223"/>
      <c r="H2" s="223"/>
      <c r="I2" s="38"/>
      <c r="J2" s="16"/>
      <c r="K2" s="38"/>
      <c r="L2" s="38"/>
      <c r="M2" s="16"/>
      <c r="N2" s="16"/>
      <c r="O2" s="16"/>
      <c r="P2" s="16"/>
      <c r="Q2" s="16"/>
      <c r="R2" s="16"/>
      <c r="S2" s="16"/>
      <c r="T2" s="16"/>
      <c r="U2" s="16"/>
      <c r="V2" s="16"/>
      <c r="W2" s="16"/>
      <c r="X2" s="16"/>
      <c r="Y2" s="1"/>
      <c r="Z2" s="120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</row>
    <row r="3" spans="1:72" ht="15.75" x14ac:dyDescent="0.25">
      <c r="A3" s="2" t="s">
        <v>3</v>
      </c>
      <c r="B3" s="16"/>
      <c r="C3" s="2"/>
      <c r="D3" s="16"/>
      <c r="E3" s="16"/>
      <c r="F3" s="16"/>
      <c r="G3" s="16"/>
      <c r="H3" s="16"/>
      <c r="I3" s="16"/>
      <c r="J3" s="7"/>
      <c r="K3" s="38"/>
      <c r="L3" s="38"/>
      <c r="M3" s="16"/>
      <c r="N3" s="16"/>
      <c r="O3" s="16"/>
      <c r="P3" s="16"/>
      <c r="Q3" s="16"/>
      <c r="R3" s="16"/>
      <c r="S3" s="16"/>
      <c r="T3" s="16"/>
      <c r="U3" s="16"/>
      <c r="V3" s="16"/>
      <c r="W3" s="16"/>
      <c r="X3" s="16"/>
      <c r="Y3" s="1"/>
      <c r="Z3" s="120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</row>
    <row r="4" spans="1:72" ht="15.75" x14ac:dyDescent="0.25">
      <c r="A4" s="2" t="s">
        <v>4</v>
      </c>
      <c r="B4" s="16"/>
      <c r="C4" s="10"/>
      <c r="D4" s="16"/>
      <c r="E4" s="16"/>
      <c r="F4" s="16"/>
      <c r="G4" s="16"/>
      <c r="H4" s="16"/>
      <c r="I4" s="16"/>
      <c r="J4" s="7"/>
      <c r="K4" s="38"/>
      <c r="L4" s="38"/>
      <c r="M4" s="16"/>
      <c r="N4" s="16"/>
      <c r="O4" s="16"/>
      <c r="P4" s="16"/>
      <c r="Q4" s="16"/>
      <c r="R4" s="16"/>
      <c r="S4" s="16"/>
      <c r="T4" s="16"/>
      <c r="U4" s="16"/>
      <c r="V4" s="16"/>
      <c r="W4" s="16"/>
      <c r="X4" s="16"/>
      <c r="Y4" s="1"/>
      <c r="Z4" s="120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/>
      <c r="BP4" s="1"/>
      <c r="BQ4" s="1"/>
      <c r="BR4" s="1"/>
      <c r="BS4" s="1"/>
      <c r="BT4" s="1"/>
    </row>
    <row r="5" spans="1:72" ht="15.75" x14ac:dyDescent="0.25">
      <c r="A5" s="2" t="s">
        <v>5</v>
      </c>
      <c r="B5" s="224"/>
      <c r="C5" s="224"/>
      <c r="D5" s="224"/>
      <c r="E5" s="224"/>
      <c r="F5" s="224"/>
      <c r="G5" s="224"/>
      <c r="H5" s="224"/>
      <c r="I5" s="224"/>
      <c r="J5" s="224"/>
      <c r="K5" s="38"/>
      <c r="L5" s="38"/>
      <c r="M5" s="16"/>
      <c r="N5" s="16"/>
      <c r="O5" s="16"/>
      <c r="P5" s="16"/>
      <c r="Q5" s="16"/>
      <c r="R5" s="16"/>
      <c r="S5" s="16"/>
      <c r="T5" s="16"/>
      <c r="U5" s="16"/>
      <c r="V5" s="16"/>
      <c r="W5" s="16"/>
      <c r="X5" s="16"/>
      <c r="Y5" s="1"/>
      <c r="Z5" s="120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  <c r="BB5" s="1"/>
      <c r="BC5" s="1"/>
      <c r="BD5" s="1"/>
      <c r="BE5" s="1"/>
      <c r="BF5" s="1"/>
      <c r="BG5" s="1"/>
      <c r="BH5" s="1"/>
      <c r="BI5" s="1"/>
      <c r="BJ5" s="1"/>
      <c r="BK5" s="1"/>
      <c r="BL5" s="1"/>
      <c r="BM5" s="1"/>
      <c r="BN5" s="1"/>
      <c r="BO5" s="1"/>
      <c r="BP5" s="1"/>
      <c r="BQ5" s="1"/>
      <c r="BR5" s="1"/>
      <c r="BS5" s="1"/>
      <c r="BT5" s="1"/>
    </row>
    <row r="6" spans="1:72" ht="15.75" x14ac:dyDescent="0.25">
      <c r="A6" s="126" t="s">
        <v>132</v>
      </c>
      <c r="B6" s="126"/>
      <c r="C6" s="16"/>
      <c r="D6" s="16"/>
      <c r="E6" s="16"/>
      <c r="F6" s="16"/>
      <c r="G6" s="16"/>
      <c r="H6" s="16"/>
      <c r="I6" s="16"/>
      <c r="J6" s="7"/>
      <c r="K6" s="38"/>
      <c r="L6" s="38"/>
      <c r="M6" s="16"/>
      <c r="N6" s="16"/>
      <c r="O6" s="16"/>
      <c r="P6" s="16"/>
      <c r="Q6" s="16"/>
      <c r="R6" s="16"/>
      <c r="S6" s="16"/>
      <c r="T6" s="16"/>
      <c r="U6" s="16"/>
      <c r="V6" s="16"/>
      <c r="W6" s="16"/>
      <c r="X6" s="16"/>
      <c r="Y6" s="1"/>
      <c r="Z6" s="120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/>
      <c r="BT6" s="1"/>
    </row>
    <row r="7" spans="1:72" ht="15.75" x14ac:dyDescent="0.25">
      <c r="A7" s="3" t="s">
        <v>6</v>
      </c>
      <c r="B7" s="1"/>
      <c r="C7" s="16"/>
      <c r="D7" s="16"/>
      <c r="E7" s="16"/>
      <c r="F7" s="16"/>
      <c r="G7" s="16"/>
      <c r="H7" s="16"/>
      <c r="I7" s="16"/>
      <c r="J7" s="16"/>
      <c r="K7" s="16"/>
      <c r="L7" s="16"/>
      <c r="M7" s="16"/>
      <c r="N7" s="16"/>
      <c r="O7" s="16"/>
      <c r="P7" s="16"/>
      <c r="Q7" s="16"/>
      <c r="R7" s="16"/>
      <c r="S7" s="16"/>
      <c r="T7" s="16"/>
      <c r="U7" s="16"/>
      <c r="V7" s="16"/>
      <c r="W7" s="16"/>
      <c r="X7" s="16"/>
      <c r="Y7" s="1"/>
      <c r="Z7" s="120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  <c r="AY7" s="1"/>
      <c r="AZ7" s="1"/>
      <c r="BA7" s="1"/>
      <c r="BB7" s="1"/>
      <c r="BC7" s="1"/>
      <c r="BD7" s="1"/>
      <c r="BE7" s="1"/>
      <c r="BF7" s="1"/>
      <c r="BG7" s="1"/>
      <c r="BH7" s="1"/>
      <c r="BI7" s="1"/>
      <c r="BJ7" s="1"/>
      <c r="BK7" s="1"/>
      <c r="BL7" s="1"/>
      <c r="BM7" s="1"/>
      <c r="BN7" s="1"/>
      <c r="BO7" s="1"/>
      <c r="BP7" s="1"/>
      <c r="BQ7" s="1"/>
      <c r="BR7" s="1"/>
      <c r="BS7" s="1"/>
      <c r="BT7" s="1"/>
    </row>
    <row r="8" spans="1:72" ht="15.75" x14ac:dyDescent="0.25">
      <c r="A8" s="225" t="s">
        <v>7</v>
      </c>
      <c r="B8" s="225"/>
      <c r="C8" s="225"/>
      <c r="D8" s="225"/>
      <c r="E8" s="122" t="s">
        <v>8</v>
      </c>
      <c r="F8" s="122" t="s">
        <v>9</v>
      </c>
      <c r="G8" s="122" t="s">
        <v>10</v>
      </c>
      <c r="H8" s="122" t="s">
        <v>0</v>
      </c>
      <c r="I8" s="22"/>
      <c r="J8" s="263" t="s">
        <v>137</v>
      </c>
      <c r="K8" s="263"/>
      <c r="L8" s="263"/>
      <c r="M8" s="263"/>
      <c r="N8" s="16"/>
      <c r="O8" s="16"/>
      <c r="P8" s="16"/>
      <c r="Q8" s="16"/>
      <c r="R8" s="16"/>
      <c r="S8" s="16"/>
      <c r="T8" s="16"/>
      <c r="U8" s="16"/>
      <c r="V8" s="16"/>
      <c r="W8" s="16"/>
      <c r="X8" s="16"/>
      <c r="Y8" s="1"/>
      <c r="Z8" s="120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  <c r="AY8" s="1"/>
      <c r="AZ8" s="1"/>
      <c r="BA8" s="1"/>
      <c r="BB8" s="1"/>
      <c r="BC8" s="1"/>
      <c r="BD8" s="1"/>
      <c r="BE8" s="1"/>
      <c r="BF8" s="1"/>
      <c r="BG8" s="1"/>
      <c r="BH8" s="1"/>
      <c r="BI8" s="1"/>
      <c r="BJ8" s="1"/>
      <c r="BK8" s="1"/>
      <c r="BL8" s="1"/>
      <c r="BM8" s="1"/>
      <c r="BN8" s="1"/>
      <c r="BO8" s="1"/>
      <c r="BP8" s="1"/>
      <c r="BQ8" s="1"/>
      <c r="BR8" s="1"/>
      <c r="BS8" s="1"/>
      <c r="BT8" s="1"/>
    </row>
    <row r="9" spans="1:72" ht="15.75" x14ac:dyDescent="0.25">
      <c r="A9" s="226"/>
      <c r="B9" s="227"/>
      <c r="C9" s="227"/>
      <c r="D9" s="228"/>
      <c r="E9" s="4" t="s">
        <v>11</v>
      </c>
      <c r="F9" s="128"/>
      <c r="G9" s="129"/>
      <c r="H9" s="148">
        <f>G9*F9</f>
        <v>0</v>
      </c>
      <c r="I9" s="38"/>
      <c r="J9" s="16"/>
      <c r="K9" s="139"/>
      <c r="L9" s="139"/>
      <c r="M9" s="139"/>
      <c r="N9" s="139"/>
      <c r="O9" s="16"/>
      <c r="P9" s="16"/>
      <c r="Q9" s="16"/>
      <c r="R9" s="16"/>
      <c r="S9" s="16"/>
      <c r="T9" s="16"/>
      <c r="U9" s="16"/>
      <c r="V9" s="16"/>
      <c r="W9" s="16"/>
      <c r="X9" s="16"/>
      <c r="Y9" s="1"/>
      <c r="Z9" s="120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  <c r="AX9" s="1"/>
      <c r="AY9" s="1"/>
      <c r="AZ9" s="1"/>
      <c r="BA9" s="1"/>
      <c r="BB9" s="1"/>
      <c r="BC9" s="1"/>
      <c r="BD9" s="1"/>
      <c r="BE9" s="1"/>
      <c r="BF9" s="1"/>
      <c r="BG9" s="1"/>
      <c r="BH9" s="1"/>
      <c r="BI9" s="1"/>
      <c r="BJ9" s="1"/>
      <c r="BK9" s="1"/>
      <c r="BL9" s="1"/>
      <c r="BM9" s="1"/>
      <c r="BN9" s="1"/>
      <c r="BO9" s="1"/>
      <c r="BP9" s="1"/>
      <c r="BQ9" s="1"/>
      <c r="BR9" s="1"/>
      <c r="BS9" s="1"/>
      <c r="BT9" s="1"/>
    </row>
    <row r="10" spans="1:72" ht="15.75" x14ac:dyDescent="0.25">
      <c r="A10" s="220"/>
      <c r="B10" s="221"/>
      <c r="C10" s="221"/>
      <c r="D10" s="222"/>
      <c r="E10" s="4" t="s">
        <v>11</v>
      </c>
      <c r="F10" s="128"/>
      <c r="G10" s="129"/>
      <c r="H10" s="148">
        <f t="shared" ref="H10:H26" si="0">G10*F10</f>
        <v>0</v>
      </c>
      <c r="I10" s="38"/>
      <c r="J10" s="16"/>
      <c r="K10" s="139"/>
      <c r="L10" s="139"/>
      <c r="M10" s="139"/>
      <c r="N10" s="139"/>
      <c r="O10" s="16"/>
      <c r="P10" s="16"/>
      <c r="Q10" s="16"/>
      <c r="R10" s="16"/>
      <c r="S10" s="16"/>
      <c r="T10" s="16"/>
      <c r="U10" s="16"/>
      <c r="V10" s="16"/>
      <c r="W10" s="16"/>
      <c r="X10" s="16"/>
      <c r="Y10" s="1"/>
      <c r="Z10" s="120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  <c r="AY10" s="1"/>
      <c r="AZ10" s="1"/>
      <c r="BA10" s="1"/>
      <c r="BB10" s="1"/>
      <c r="BC10" s="1"/>
      <c r="BD10" s="1"/>
      <c r="BE10" s="1"/>
      <c r="BF10" s="1"/>
      <c r="BG10" s="1"/>
      <c r="BH10" s="1"/>
      <c r="BI10" s="1"/>
      <c r="BJ10" s="1"/>
      <c r="BK10" s="1"/>
      <c r="BL10" s="1"/>
      <c r="BM10" s="1"/>
      <c r="BN10" s="1"/>
      <c r="BO10" s="1"/>
      <c r="BP10" s="1"/>
      <c r="BQ10" s="1"/>
      <c r="BR10" s="1"/>
      <c r="BS10" s="1"/>
      <c r="BT10" s="1"/>
    </row>
    <row r="11" spans="1:72" ht="15.75" x14ac:dyDescent="0.25">
      <c r="A11" s="220"/>
      <c r="B11" s="221"/>
      <c r="C11" s="221"/>
      <c r="D11" s="222"/>
      <c r="E11" s="4" t="s">
        <v>11</v>
      </c>
      <c r="F11" s="128"/>
      <c r="G11" s="129"/>
      <c r="H11" s="148">
        <f t="shared" si="0"/>
        <v>0</v>
      </c>
      <c r="I11" s="38"/>
      <c r="J11" s="16"/>
      <c r="K11" s="139"/>
      <c r="L11" s="139"/>
      <c r="M11" s="139"/>
      <c r="N11" s="139"/>
      <c r="O11" s="16"/>
      <c r="P11" s="16"/>
      <c r="Q11" s="16"/>
      <c r="R11" s="16"/>
      <c r="S11" s="16"/>
      <c r="T11" s="16"/>
      <c r="U11" s="16"/>
      <c r="V11" s="16"/>
      <c r="W11" s="16"/>
      <c r="X11" s="16"/>
      <c r="Y11" s="1"/>
      <c r="Z11" s="120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  <c r="AY11" s="1"/>
      <c r="AZ11" s="1"/>
      <c r="BA11" s="1"/>
      <c r="BB11" s="1"/>
      <c r="BC11" s="1"/>
      <c r="BD11" s="1"/>
      <c r="BE11" s="1"/>
      <c r="BF11" s="1"/>
      <c r="BG11" s="1"/>
      <c r="BH11" s="1"/>
      <c r="BI11" s="1"/>
      <c r="BJ11" s="1"/>
      <c r="BK11" s="1"/>
      <c r="BL11" s="1"/>
      <c r="BM11" s="1"/>
      <c r="BN11" s="1"/>
      <c r="BO11" s="1"/>
      <c r="BP11" s="1"/>
      <c r="BQ11" s="1"/>
      <c r="BR11" s="1"/>
      <c r="BS11" s="1"/>
      <c r="BT11" s="1"/>
    </row>
    <row r="12" spans="1:72" ht="15.75" x14ac:dyDescent="0.25">
      <c r="A12" s="220"/>
      <c r="B12" s="221"/>
      <c r="C12" s="221"/>
      <c r="D12" s="222"/>
      <c r="E12" s="4" t="s">
        <v>11</v>
      </c>
      <c r="F12" s="128"/>
      <c r="G12" s="129"/>
      <c r="H12" s="148">
        <f t="shared" si="0"/>
        <v>0</v>
      </c>
      <c r="I12" s="38"/>
      <c r="J12" s="16"/>
      <c r="K12" s="139"/>
      <c r="L12" s="139"/>
      <c r="M12" s="139"/>
      <c r="N12" s="139"/>
      <c r="O12" s="16"/>
      <c r="P12" s="16"/>
      <c r="Q12" s="16"/>
      <c r="R12" s="16"/>
      <c r="S12" s="16"/>
      <c r="T12" s="16"/>
      <c r="U12" s="16"/>
      <c r="V12" s="16"/>
      <c r="W12" s="16"/>
      <c r="X12" s="16"/>
      <c r="Y12" s="1"/>
      <c r="Z12" s="120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  <c r="AY12" s="1"/>
      <c r="AZ12" s="1"/>
      <c r="BA12" s="1"/>
      <c r="BB12" s="1"/>
      <c r="BC12" s="1"/>
      <c r="BD12" s="1"/>
      <c r="BE12" s="1"/>
      <c r="BF12" s="1"/>
      <c r="BG12" s="1"/>
      <c r="BH12" s="1"/>
      <c r="BI12" s="1"/>
      <c r="BJ12" s="1"/>
      <c r="BK12" s="1"/>
      <c r="BL12" s="1"/>
      <c r="BM12" s="1"/>
      <c r="BN12" s="1"/>
      <c r="BO12" s="1"/>
      <c r="BP12" s="1"/>
      <c r="BQ12" s="1"/>
      <c r="BR12" s="1"/>
      <c r="BS12" s="1"/>
      <c r="BT12" s="1"/>
    </row>
    <row r="13" spans="1:72" ht="15.75" x14ac:dyDescent="0.25">
      <c r="A13" s="220"/>
      <c r="B13" s="221"/>
      <c r="C13" s="221"/>
      <c r="D13" s="222"/>
      <c r="E13" s="4" t="s">
        <v>11</v>
      </c>
      <c r="F13" s="128"/>
      <c r="G13" s="129"/>
      <c r="H13" s="148">
        <f t="shared" si="0"/>
        <v>0</v>
      </c>
      <c r="I13" s="38"/>
      <c r="J13" s="16"/>
      <c r="K13" s="139"/>
      <c r="L13" s="139"/>
      <c r="M13" s="139"/>
      <c r="N13" s="139"/>
      <c r="O13" s="16"/>
      <c r="P13" s="16"/>
      <c r="Q13" s="16"/>
      <c r="R13" s="16"/>
      <c r="S13" s="16"/>
      <c r="T13" s="16"/>
      <c r="U13" s="16"/>
      <c r="V13" s="16"/>
      <c r="W13" s="16"/>
      <c r="X13" s="16"/>
      <c r="Y13" s="1"/>
      <c r="Z13" s="120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  <c r="AY13" s="1"/>
      <c r="AZ13" s="1"/>
      <c r="BA13" s="1"/>
      <c r="BB13" s="1"/>
      <c r="BC13" s="1"/>
      <c r="BD13" s="1"/>
      <c r="BE13" s="1"/>
      <c r="BF13" s="1"/>
      <c r="BG13" s="1"/>
      <c r="BH13" s="1"/>
      <c r="BI13" s="1"/>
      <c r="BJ13" s="1"/>
      <c r="BK13" s="1"/>
      <c r="BL13" s="1"/>
      <c r="BM13" s="1"/>
      <c r="BN13" s="1"/>
      <c r="BO13" s="1"/>
      <c r="BP13" s="1"/>
      <c r="BQ13" s="1"/>
      <c r="BR13" s="1"/>
      <c r="BS13" s="1"/>
      <c r="BT13" s="1"/>
    </row>
    <row r="14" spans="1:72" ht="15.75" x14ac:dyDescent="0.25">
      <c r="A14" s="220"/>
      <c r="B14" s="221"/>
      <c r="C14" s="221"/>
      <c r="D14" s="222"/>
      <c r="E14" s="4" t="s">
        <v>11</v>
      </c>
      <c r="F14" s="128"/>
      <c r="G14" s="129"/>
      <c r="H14" s="148">
        <f t="shared" si="0"/>
        <v>0</v>
      </c>
      <c r="I14" s="38"/>
      <c r="J14" s="16"/>
      <c r="K14" s="139"/>
      <c r="L14" s="139"/>
      <c r="M14" s="139"/>
      <c r="N14" s="139"/>
      <c r="O14" s="16"/>
      <c r="P14" s="16"/>
      <c r="Q14" s="16"/>
      <c r="R14" s="16"/>
      <c r="S14" s="16"/>
      <c r="T14" s="16"/>
      <c r="U14" s="16"/>
      <c r="V14" s="16"/>
      <c r="W14" s="16"/>
      <c r="X14" s="16"/>
      <c r="Y14" s="1"/>
      <c r="Z14" s="120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  <c r="AX14" s="1"/>
      <c r="AY14" s="1"/>
      <c r="AZ14" s="1"/>
      <c r="BA14" s="1"/>
      <c r="BB14" s="1"/>
      <c r="BC14" s="1"/>
      <c r="BD14" s="1"/>
      <c r="BE14" s="1"/>
      <c r="BF14" s="1"/>
      <c r="BG14" s="1"/>
      <c r="BH14" s="1"/>
      <c r="BI14" s="1"/>
      <c r="BJ14" s="1"/>
      <c r="BK14" s="1"/>
      <c r="BL14" s="1"/>
      <c r="BM14" s="1"/>
      <c r="BN14" s="1"/>
      <c r="BO14" s="1"/>
      <c r="BP14" s="1"/>
      <c r="BQ14" s="1"/>
      <c r="BR14" s="1"/>
      <c r="BS14" s="1"/>
      <c r="BT14" s="1"/>
    </row>
    <row r="15" spans="1:72" ht="15.75" x14ac:dyDescent="0.25">
      <c r="A15" s="220"/>
      <c r="B15" s="221"/>
      <c r="C15" s="221"/>
      <c r="D15" s="222"/>
      <c r="E15" s="4" t="s">
        <v>11</v>
      </c>
      <c r="F15" s="128"/>
      <c r="G15" s="129"/>
      <c r="H15" s="148">
        <f t="shared" si="0"/>
        <v>0</v>
      </c>
      <c r="I15" s="38"/>
      <c r="J15" s="16"/>
      <c r="K15" s="139"/>
      <c r="L15" s="139"/>
      <c r="M15" s="139"/>
      <c r="N15" s="139"/>
      <c r="O15" s="16"/>
      <c r="P15" s="16"/>
      <c r="Q15" s="16"/>
      <c r="R15" s="16"/>
      <c r="S15" s="16"/>
      <c r="T15" s="16"/>
      <c r="U15" s="16"/>
      <c r="V15" s="16"/>
      <c r="W15" s="16"/>
      <c r="X15" s="16"/>
      <c r="Y15" s="1"/>
      <c r="Z15" s="120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  <c r="AX15" s="1"/>
      <c r="AY15" s="1"/>
      <c r="AZ15" s="1"/>
      <c r="BA15" s="1"/>
      <c r="BB15" s="1"/>
      <c r="BC15" s="1"/>
      <c r="BD15" s="1"/>
      <c r="BE15" s="1"/>
      <c r="BF15" s="1"/>
      <c r="BG15" s="1"/>
      <c r="BH15" s="1"/>
      <c r="BI15" s="1"/>
      <c r="BJ15" s="1"/>
      <c r="BK15" s="1"/>
      <c r="BL15" s="1"/>
      <c r="BM15" s="1"/>
      <c r="BN15" s="1"/>
      <c r="BO15" s="1"/>
      <c r="BP15" s="1"/>
      <c r="BQ15" s="1"/>
      <c r="BR15" s="1"/>
      <c r="BS15" s="1"/>
      <c r="BT15" s="1"/>
    </row>
    <row r="16" spans="1:72" ht="15.75" x14ac:dyDescent="0.25">
      <c r="A16" s="220"/>
      <c r="B16" s="221"/>
      <c r="C16" s="221"/>
      <c r="D16" s="222"/>
      <c r="E16" s="4" t="s">
        <v>11</v>
      </c>
      <c r="F16" s="128"/>
      <c r="G16" s="129"/>
      <c r="H16" s="148">
        <f t="shared" si="0"/>
        <v>0</v>
      </c>
      <c r="I16" s="38"/>
      <c r="J16" s="16"/>
      <c r="K16" s="139"/>
      <c r="L16" s="139"/>
      <c r="M16" s="139"/>
      <c r="N16" s="139"/>
      <c r="O16" s="16"/>
      <c r="P16" s="16"/>
      <c r="Q16" s="16"/>
      <c r="R16" s="16"/>
      <c r="S16" s="16"/>
      <c r="T16" s="16"/>
      <c r="U16" s="16"/>
      <c r="V16" s="16"/>
      <c r="W16" s="16"/>
      <c r="X16" s="16"/>
      <c r="Y16" s="1"/>
      <c r="Z16" s="120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  <c r="AX16" s="1"/>
      <c r="AY16" s="1"/>
      <c r="AZ16" s="1"/>
      <c r="BA16" s="1"/>
      <c r="BB16" s="1"/>
      <c r="BC16" s="1"/>
      <c r="BD16" s="1"/>
      <c r="BE16" s="1"/>
      <c r="BF16" s="1"/>
      <c r="BG16" s="1"/>
      <c r="BH16" s="1"/>
      <c r="BI16" s="1"/>
      <c r="BJ16" s="1"/>
      <c r="BK16" s="1"/>
      <c r="BL16" s="1"/>
      <c r="BM16" s="1"/>
      <c r="BN16" s="1"/>
      <c r="BO16" s="1"/>
      <c r="BP16" s="1"/>
      <c r="BQ16" s="1"/>
      <c r="BR16" s="1"/>
      <c r="BS16" s="1"/>
      <c r="BT16" s="1"/>
    </row>
    <row r="17" spans="1:72" ht="15.75" x14ac:dyDescent="0.25">
      <c r="A17" s="220"/>
      <c r="B17" s="221"/>
      <c r="C17" s="221"/>
      <c r="D17" s="222"/>
      <c r="E17" s="4" t="s">
        <v>11</v>
      </c>
      <c r="F17" s="128"/>
      <c r="G17" s="129"/>
      <c r="H17" s="148">
        <f t="shared" si="0"/>
        <v>0</v>
      </c>
      <c r="I17" s="38"/>
      <c r="J17" s="16"/>
      <c r="K17" s="139"/>
      <c r="L17" s="139"/>
      <c r="M17" s="139"/>
      <c r="N17" s="139"/>
      <c r="O17" s="16"/>
      <c r="P17" s="16"/>
      <c r="Q17" s="16"/>
      <c r="R17" s="16"/>
      <c r="S17" s="16"/>
      <c r="T17" s="16"/>
      <c r="U17" s="16"/>
      <c r="V17" s="16"/>
      <c r="W17" s="16"/>
      <c r="X17" s="16"/>
      <c r="Y17" s="1"/>
      <c r="Z17" s="120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  <c r="AX17" s="1"/>
      <c r="AY17" s="1"/>
      <c r="AZ17" s="1"/>
      <c r="BA17" s="1"/>
      <c r="BB17" s="1"/>
      <c r="BC17" s="1"/>
      <c r="BD17" s="1"/>
      <c r="BE17" s="1"/>
      <c r="BF17" s="1"/>
      <c r="BG17" s="1"/>
      <c r="BH17" s="1"/>
      <c r="BI17" s="1"/>
      <c r="BJ17" s="1"/>
      <c r="BK17" s="1"/>
      <c r="BL17" s="1"/>
      <c r="BM17" s="1"/>
      <c r="BN17" s="1"/>
      <c r="BO17" s="1"/>
      <c r="BP17" s="1"/>
      <c r="BQ17" s="1"/>
      <c r="BR17" s="1"/>
      <c r="BS17" s="1"/>
      <c r="BT17" s="1"/>
    </row>
    <row r="18" spans="1:72" ht="15.75" x14ac:dyDescent="0.25">
      <c r="A18" s="220"/>
      <c r="B18" s="221"/>
      <c r="C18" s="221"/>
      <c r="D18" s="222"/>
      <c r="E18" s="4" t="s">
        <v>11</v>
      </c>
      <c r="F18" s="128"/>
      <c r="G18" s="129"/>
      <c r="H18" s="148">
        <f t="shared" si="0"/>
        <v>0</v>
      </c>
      <c r="I18" s="38"/>
      <c r="J18" s="16"/>
      <c r="K18" s="139"/>
      <c r="L18" s="139"/>
      <c r="M18" s="139"/>
      <c r="N18" s="139"/>
      <c r="O18" s="16"/>
      <c r="P18" s="16"/>
      <c r="Q18" s="16"/>
      <c r="R18" s="16"/>
      <c r="S18" s="16"/>
      <c r="T18" s="16"/>
      <c r="U18" s="16"/>
      <c r="V18" s="16"/>
      <c r="W18" s="16"/>
      <c r="X18" s="16"/>
      <c r="Y18" s="1"/>
      <c r="Z18" s="120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/>
      <c r="AY18" s="1"/>
      <c r="AZ18" s="1"/>
      <c r="BA18" s="1"/>
      <c r="BB18" s="1"/>
      <c r="BC18" s="1"/>
      <c r="BD18" s="1"/>
      <c r="BE18" s="1"/>
      <c r="BF18" s="1"/>
      <c r="BG18" s="1"/>
      <c r="BH18" s="1"/>
      <c r="BI18" s="1"/>
      <c r="BJ18" s="1"/>
      <c r="BK18" s="1"/>
      <c r="BL18" s="1"/>
      <c r="BM18" s="1"/>
      <c r="BN18" s="1"/>
      <c r="BO18" s="1"/>
      <c r="BP18" s="1"/>
      <c r="BQ18" s="1"/>
      <c r="BR18" s="1"/>
      <c r="BS18" s="1"/>
      <c r="BT18" s="1"/>
    </row>
    <row r="19" spans="1:72" ht="15.75" x14ac:dyDescent="0.25">
      <c r="A19" s="220"/>
      <c r="B19" s="221"/>
      <c r="C19" s="221"/>
      <c r="D19" s="222"/>
      <c r="E19" s="4" t="s">
        <v>11</v>
      </c>
      <c r="F19" s="128"/>
      <c r="G19" s="129"/>
      <c r="H19" s="148">
        <f t="shared" si="0"/>
        <v>0</v>
      </c>
      <c r="I19" s="38"/>
      <c r="J19" s="16"/>
      <c r="K19" s="139"/>
      <c r="L19" s="139"/>
      <c r="M19" s="139"/>
      <c r="N19" s="139"/>
      <c r="O19" s="16"/>
      <c r="P19" s="16"/>
      <c r="Q19" s="16"/>
      <c r="R19" s="16"/>
      <c r="S19" s="16"/>
      <c r="T19" s="16"/>
      <c r="U19" s="16"/>
      <c r="V19" s="16"/>
      <c r="W19" s="16"/>
      <c r="X19" s="16"/>
      <c r="Y19" s="1"/>
      <c r="Z19" s="120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  <c r="AX19" s="1"/>
      <c r="AY19" s="1"/>
      <c r="AZ19" s="1"/>
      <c r="BA19" s="1"/>
      <c r="BB19" s="1"/>
      <c r="BC19" s="1"/>
      <c r="BD19" s="1"/>
      <c r="BE19" s="1"/>
      <c r="BF19" s="1"/>
      <c r="BG19" s="1"/>
      <c r="BH19" s="1"/>
      <c r="BI19" s="1"/>
      <c r="BJ19" s="1"/>
      <c r="BK19" s="1"/>
      <c r="BL19" s="1"/>
      <c r="BM19" s="1"/>
      <c r="BN19" s="1"/>
      <c r="BO19" s="1"/>
      <c r="BP19" s="1"/>
      <c r="BQ19" s="1"/>
      <c r="BR19" s="1"/>
      <c r="BS19" s="1"/>
      <c r="BT19" s="1"/>
    </row>
    <row r="20" spans="1:72" ht="15.75" x14ac:dyDescent="0.25">
      <c r="A20" s="220"/>
      <c r="B20" s="221"/>
      <c r="C20" s="221"/>
      <c r="D20" s="222"/>
      <c r="E20" s="4" t="s">
        <v>11</v>
      </c>
      <c r="F20" s="128"/>
      <c r="G20" s="129"/>
      <c r="H20" s="148">
        <f t="shared" si="0"/>
        <v>0</v>
      </c>
      <c r="I20" s="134"/>
      <c r="J20" s="16"/>
      <c r="K20" s="139"/>
      <c r="L20" s="139"/>
      <c r="M20" s="139"/>
      <c r="N20" s="139"/>
      <c r="O20" s="16"/>
      <c r="P20" s="16"/>
      <c r="Q20" s="16"/>
      <c r="R20" s="16"/>
      <c r="S20" s="16"/>
      <c r="T20" s="16"/>
      <c r="U20" s="16"/>
      <c r="V20" s="16"/>
      <c r="W20" s="16"/>
      <c r="X20" s="16"/>
      <c r="Y20" s="1"/>
      <c r="Z20" s="120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  <c r="AX20" s="1"/>
      <c r="AY20" s="1"/>
      <c r="AZ20" s="1"/>
      <c r="BA20" s="1"/>
      <c r="BB20" s="1"/>
      <c r="BC20" s="1"/>
      <c r="BD20" s="1"/>
      <c r="BE20" s="1"/>
      <c r="BF20" s="1"/>
      <c r="BG20" s="1"/>
      <c r="BH20" s="1"/>
      <c r="BI20" s="1"/>
      <c r="BJ20" s="1"/>
      <c r="BK20" s="1"/>
      <c r="BL20" s="1"/>
      <c r="BM20" s="1"/>
      <c r="BN20" s="1"/>
      <c r="BO20" s="1"/>
      <c r="BP20" s="1"/>
      <c r="BQ20" s="1"/>
      <c r="BR20" s="1"/>
      <c r="BS20" s="1"/>
      <c r="BT20" s="1"/>
    </row>
    <row r="21" spans="1:72" ht="15.75" x14ac:dyDescent="0.25">
      <c r="A21" s="220"/>
      <c r="B21" s="221"/>
      <c r="C21" s="221"/>
      <c r="D21" s="222"/>
      <c r="E21" s="4" t="s">
        <v>11</v>
      </c>
      <c r="F21" s="128"/>
      <c r="G21" s="129"/>
      <c r="H21" s="148">
        <f t="shared" si="0"/>
        <v>0</v>
      </c>
      <c r="I21" s="134"/>
      <c r="J21" s="16"/>
      <c r="K21" s="139"/>
      <c r="L21" s="139"/>
      <c r="M21" s="139"/>
      <c r="N21" s="139"/>
      <c r="O21" s="16"/>
      <c r="P21" s="16"/>
      <c r="Q21" s="16"/>
      <c r="R21" s="16"/>
      <c r="S21" s="16"/>
      <c r="T21" s="16"/>
      <c r="U21" s="16"/>
      <c r="V21" s="16"/>
      <c r="W21" s="16"/>
      <c r="X21" s="16"/>
      <c r="Y21" s="1"/>
      <c r="Z21" s="120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  <c r="AX21" s="1"/>
      <c r="AY21" s="1"/>
      <c r="AZ21" s="1"/>
      <c r="BA21" s="1"/>
      <c r="BB21" s="1"/>
      <c r="BC21" s="1"/>
      <c r="BD21" s="1"/>
      <c r="BE21" s="1"/>
      <c r="BF21" s="1"/>
      <c r="BG21" s="1"/>
      <c r="BH21" s="1"/>
      <c r="BI21" s="1"/>
      <c r="BJ21" s="1"/>
      <c r="BK21" s="1"/>
      <c r="BL21" s="1"/>
      <c r="BM21" s="1"/>
      <c r="BN21" s="1"/>
      <c r="BO21" s="1"/>
      <c r="BP21" s="1"/>
      <c r="BQ21" s="1"/>
      <c r="BR21" s="1"/>
      <c r="BS21" s="1"/>
      <c r="BT21" s="1"/>
    </row>
    <row r="22" spans="1:72" ht="15.75" x14ac:dyDescent="0.25">
      <c r="A22" s="220"/>
      <c r="B22" s="221"/>
      <c r="C22" s="221"/>
      <c r="D22" s="222"/>
      <c r="E22" s="4" t="s">
        <v>11</v>
      </c>
      <c r="F22" s="128"/>
      <c r="G22" s="129"/>
      <c r="H22" s="148">
        <f t="shared" si="0"/>
        <v>0</v>
      </c>
      <c r="I22" s="134"/>
      <c r="J22" s="16"/>
      <c r="K22" s="139"/>
      <c r="L22" s="266" t="s">
        <v>158</v>
      </c>
      <c r="M22" s="266"/>
      <c r="N22" s="266"/>
      <c r="O22" s="266"/>
      <c r="P22" s="266"/>
      <c r="Q22" s="266"/>
      <c r="R22" s="16"/>
      <c r="S22" s="16"/>
      <c r="T22" s="16"/>
      <c r="U22" s="16"/>
      <c r="V22" s="16"/>
      <c r="W22" s="16"/>
      <c r="X22" s="16"/>
      <c r="Y22" s="1"/>
      <c r="Z22" s="120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  <c r="AX22" s="1"/>
      <c r="AY22" s="1"/>
      <c r="AZ22" s="1"/>
      <c r="BA22" s="1"/>
      <c r="BB22" s="1"/>
      <c r="BC22" s="1"/>
      <c r="BD22" s="1"/>
      <c r="BE22" s="1"/>
      <c r="BF22" s="1"/>
      <c r="BG22" s="1"/>
      <c r="BH22" s="1"/>
      <c r="BI22" s="1"/>
      <c r="BJ22" s="1"/>
      <c r="BK22" s="1"/>
      <c r="BL22" s="1"/>
      <c r="BM22" s="1"/>
      <c r="BN22" s="1"/>
      <c r="BO22" s="1"/>
      <c r="BP22" s="1"/>
      <c r="BQ22" s="1"/>
      <c r="BR22" s="1"/>
      <c r="BS22" s="1"/>
      <c r="BT22" s="1"/>
    </row>
    <row r="23" spans="1:72" ht="15.75" x14ac:dyDescent="0.25">
      <c r="A23" s="220"/>
      <c r="B23" s="221"/>
      <c r="C23" s="221"/>
      <c r="D23" s="222"/>
      <c r="E23" s="4" t="s">
        <v>11</v>
      </c>
      <c r="F23" s="128"/>
      <c r="G23" s="129"/>
      <c r="H23" s="148">
        <f t="shared" si="0"/>
        <v>0</v>
      </c>
      <c r="I23" s="134"/>
      <c r="J23" s="16"/>
      <c r="K23" s="139"/>
      <c r="L23" s="266"/>
      <c r="M23" s="266"/>
      <c r="N23" s="266"/>
      <c r="O23" s="266"/>
      <c r="P23" s="266"/>
      <c r="Q23" s="266"/>
      <c r="R23" s="16"/>
      <c r="S23" s="16"/>
      <c r="T23" s="16"/>
      <c r="U23" s="16"/>
      <c r="V23" s="16"/>
      <c r="W23" s="16"/>
      <c r="X23" s="16"/>
      <c r="Y23" s="1"/>
      <c r="Z23" s="120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  <c r="AX23" s="1"/>
      <c r="AY23" s="1"/>
      <c r="AZ23" s="1"/>
      <c r="BA23" s="1"/>
      <c r="BB23" s="1"/>
      <c r="BC23" s="1"/>
      <c r="BD23" s="1"/>
      <c r="BE23" s="1"/>
      <c r="BF23" s="1"/>
      <c r="BG23" s="1"/>
      <c r="BH23" s="1"/>
      <c r="BI23" s="1"/>
      <c r="BJ23" s="1"/>
      <c r="BK23" s="1"/>
      <c r="BL23" s="1"/>
      <c r="BM23" s="1"/>
      <c r="BN23" s="1"/>
      <c r="BO23" s="1"/>
      <c r="BP23" s="1"/>
      <c r="BQ23" s="1"/>
      <c r="BR23" s="1"/>
      <c r="BS23" s="1"/>
      <c r="BT23" s="1"/>
    </row>
    <row r="24" spans="1:72" ht="15.75" x14ac:dyDescent="0.25">
      <c r="A24" s="220"/>
      <c r="B24" s="221"/>
      <c r="C24" s="221"/>
      <c r="D24" s="222"/>
      <c r="E24" s="4" t="s">
        <v>11</v>
      </c>
      <c r="F24" s="128"/>
      <c r="G24" s="129"/>
      <c r="H24" s="148">
        <f t="shared" si="0"/>
        <v>0</v>
      </c>
      <c r="I24" s="134"/>
      <c r="J24" s="16"/>
      <c r="K24" s="139"/>
      <c r="L24" s="266"/>
      <c r="M24" s="266"/>
      <c r="N24" s="266"/>
      <c r="O24" s="266"/>
      <c r="P24" s="266"/>
      <c r="Q24" s="266"/>
      <c r="R24" s="16"/>
      <c r="S24" s="16"/>
      <c r="T24" s="16"/>
      <c r="U24" s="16"/>
      <c r="V24" s="16"/>
      <c r="W24" s="16"/>
      <c r="X24" s="16"/>
      <c r="Y24" s="1"/>
      <c r="Z24" s="120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  <c r="AX24" s="1"/>
      <c r="AY24" s="1"/>
      <c r="AZ24" s="1"/>
      <c r="BA24" s="1"/>
      <c r="BB24" s="1"/>
      <c r="BC24" s="1"/>
      <c r="BD24" s="1"/>
      <c r="BE24" s="1"/>
      <c r="BF24" s="1"/>
      <c r="BG24" s="1"/>
      <c r="BH24" s="1"/>
      <c r="BI24" s="1"/>
      <c r="BJ24" s="1"/>
      <c r="BK24" s="1"/>
      <c r="BL24" s="1"/>
      <c r="BM24" s="1"/>
      <c r="BN24" s="1"/>
      <c r="BO24" s="1"/>
      <c r="BP24" s="1"/>
      <c r="BQ24" s="1"/>
      <c r="BR24" s="1"/>
      <c r="BS24" s="1"/>
      <c r="BT24" s="1"/>
    </row>
    <row r="25" spans="1:72" ht="15.75" x14ac:dyDescent="0.25">
      <c r="A25" s="220"/>
      <c r="B25" s="221"/>
      <c r="C25" s="221"/>
      <c r="D25" s="222"/>
      <c r="E25" s="4" t="s">
        <v>11</v>
      </c>
      <c r="F25" s="128"/>
      <c r="G25" s="129"/>
      <c r="H25" s="148">
        <f t="shared" si="0"/>
        <v>0</v>
      </c>
      <c r="I25" s="134"/>
      <c r="J25" s="16"/>
      <c r="K25" s="139"/>
      <c r="L25" s="266"/>
      <c r="M25" s="266"/>
      <c r="N25" s="266"/>
      <c r="O25" s="266"/>
      <c r="P25" s="266"/>
      <c r="Q25" s="266"/>
      <c r="R25" s="16"/>
      <c r="S25" s="16"/>
      <c r="T25" s="16"/>
      <c r="U25" s="16"/>
      <c r="V25" s="16"/>
      <c r="W25" s="16"/>
      <c r="X25" s="16"/>
      <c r="Y25" s="1"/>
      <c r="Z25" s="120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  <c r="AX25" s="1"/>
      <c r="AY25" s="1"/>
      <c r="AZ25" s="1"/>
      <c r="BA25" s="1"/>
      <c r="BB25" s="1"/>
      <c r="BC25" s="1"/>
      <c r="BD25" s="1"/>
      <c r="BE25" s="1"/>
      <c r="BF25" s="1"/>
      <c r="BG25" s="1"/>
      <c r="BH25" s="1"/>
      <c r="BI25" s="1"/>
      <c r="BJ25" s="1"/>
      <c r="BK25" s="1"/>
      <c r="BL25" s="1"/>
      <c r="BM25" s="1"/>
      <c r="BN25" s="1"/>
      <c r="BO25" s="1"/>
      <c r="BP25" s="1"/>
      <c r="BQ25" s="1"/>
      <c r="BR25" s="1"/>
      <c r="BS25" s="1"/>
      <c r="BT25" s="1"/>
    </row>
    <row r="26" spans="1:72" ht="15.75" x14ac:dyDescent="0.25">
      <c r="A26" s="220"/>
      <c r="B26" s="221"/>
      <c r="C26" s="221"/>
      <c r="D26" s="222"/>
      <c r="E26" s="4" t="s">
        <v>11</v>
      </c>
      <c r="F26" s="128"/>
      <c r="G26" s="129"/>
      <c r="H26" s="148">
        <f t="shared" si="0"/>
        <v>0</v>
      </c>
      <c r="I26" s="134">
        <f>H26*1.455</f>
        <v>0</v>
      </c>
      <c r="J26" s="16"/>
      <c r="K26" s="139"/>
      <c r="L26" s="139"/>
      <c r="M26" s="139"/>
      <c r="N26" s="139"/>
      <c r="O26" s="16"/>
      <c r="P26" s="16"/>
      <c r="Q26" s="16"/>
      <c r="R26" s="16"/>
      <c r="S26" s="16"/>
      <c r="T26" s="16"/>
      <c r="U26" s="16"/>
      <c r="V26" s="16"/>
      <c r="W26" s="16"/>
      <c r="X26" s="16"/>
      <c r="Y26" s="1"/>
      <c r="Z26" s="120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  <c r="AX26" s="1"/>
      <c r="AY26" s="1"/>
      <c r="AZ26" s="1"/>
      <c r="BA26" s="1"/>
      <c r="BB26" s="1"/>
      <c r="BC26" s="1"/>
      <c r="BD26" s="1"/>
      <c r="BE26" s="1"/>
      <c r="BF26" s="1"/>
      <c r="BG26" s="1"/>
      <c r="BH26" s="1"/>
      <c r="BI26" s="1"/>
      <c r="BJ26" s="1"/>
      <c r="BK26" s="1"/>
      <c r="BL26" s="1"/>
      <c r="BM26" s="1"/>
      <c r="BN26" s="1"/>
      <c r="BO26" s="1"/>
      <c r="BP26" s="1"/>
      <c r="BQ26" s="1"/>
      <c r="BR26" s="1"/>
      <c r="BS26" s="1"/>
      <c r="BT26" s="1"/>
    </row>
    <row r="27" spans="1:72" ht="15.75" x14ac:dyDescent="0.25">
      <c r="A27" s="16"/>
      <c r="B27" s="16"/>
      <c r="C27" s="16"/>
      <c r="D27" s="16"/>
      <c r="E27" s="16"/>
      <c r="F27" s="16"/>
      <c r="G27" s="6" t="s">
        <v>12</v>
      </c>
      <c r="H27" s="6">
        <f>SUM(H9:H26)</f>
        <v>0</v>
      </c>
      <c r="I27" s="134"/>
      <c r="J27" s="2"/>
      <c r="K27" s="139"/>
      <c r="L27" s="139"/>
      <c r="M27" s="143"/>
      <c r="N27" s="139"/>
      <c r="O27" s="16"/>
      <c r="P27" s="16"/>
      <c r="Q27" s="16"/>
      <c r="R27" s="16"/>
      <c r="S27" s="16"/>
      <c r="T27" s="16"/>
      <c r="U27" s="16"/>
      <c r="V27" s="16"/>
      <c r="W27" s="16"/>
      <c r="X27" s="16"/>
      <c r="Y27" s="1"/>
      <c r="Z27" s="120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  <c r="AX27" s="1"/>
      <c r="AY27" s="1"/>
      <c r="AZ27" s="1"/>
      <c r="BA27" s="1"/>
      <c r="BB27" s="1"/>
      <c r="BC27" s="1"/>
      <c r="BD27" s="1"/>
      <c r="BE27" s="1"/>
      <c r="BF27" s="1"/>
      <c r="BG27" s="1"/>
      <c r="BH27" s="1"/>
      <c r="BI27" s="1"/>
      <c r="BJ27" s="1"/>
      <c r="BK27" s="1"/>
      <c r="BL27" s="1"/>
      <c r="BM27" s="1"/>
      <c r="BN27" s="1"/>
      <c r="BO27" s="1"/>
      <c r="BP27" s="1"/>
      <c r="BQ27" s="1"/>
      <c r="BR27" s="1"/>
      <c r="BS27" s="1"/>
      <c r="BT27" s="1"/>
    </row>
    <row r="28" spans="1:72" ht="15.75" x14ac:dyDescent="0.25">
      <c r="A28" s="27"/>
      <c r="B28" s="16"/>
      <c r="C28" s="16"/>
      <c r="D28" s="16"/>
      <c r="E28" s="16"/>
      <c r="F28" s="16"/>
      <c r="G28" s="16"/>
      <c r="H28" s="30"/>
      <c r="I28" s="30"/>
      <c r="J28" s="144"/>
      <c r="K28" s="144"/>
      <c r="L28" s="16"/>
      <c r="M28" s="3"/>
      <c r="N28" s="16"/>
      <c r="O28" s="16"/>
      <c r="P28" s="16"/>
      <c r="Q28" s="16"/>
      <c r="R28" s="16"/>
      <c r="S28" s="16"/>
      <c r="T28" s="16"/>
      <c r="U28" s="16"/>
      <c r="V28" s="16"/>
      <c r="W28" s="16"/>
      <c r="X28" s="16"/>
      <c r="Y28" s="1"/>
      <c r="Z28" s="120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  <c r="AX28" s="1"/>
      <c r="AY28" s="1"/>
      <c r="AZ28" s="1"/>
      <c r="BA28" s="1"/>
      <c r="BB28" s="1"/>
      <c r="BC28" s="1"/>
      <c r="BD28" s="1"/>
      <c r="BE28" s="1"/>
      <c r="BF28" s="1"/>
      <c r="BG28" s="1"/>
      <c r="BH28" s="1"/>
      <c r="BI28" s="1"/>
      <c r="BJ28" s="1"/>
      <c r="BK28" s="1"/>
      <c r="BL28" s="1"/>
      <c r="BM28" s="1"/>
      <c r="BN28" s="1"/>
      <c r="BO28" s="1"/>
      <c r="BP28" s="1"/>
      <c r="BQ28" s="1"/>
      <c r="BR28" s="1"/>
      <c r="BS28" s="1"/>
      <c r="BT28" s="1"/>
    </row>
    <row r="29" spans="1:72" ht="15.75" x14ac:dyDescent="0.25">
      <c r="A29" s="3" t="s">
        <v>13</v>
      </c>
      <c r="B29" s="7"/>
      <c r="C29" s="7"/>
      <c r="D29" s="7"/>
      <c r="E29" s="7"/>
      <c r="F29" s="7"/>
      <c r="G29" s="8"/>
      <c r="H29" s="9"/>
      <c r="I29" s="9"/>
      <c r="J29" s="10"/>
      <c r="K29" s="7"/>
      <c r="L29" s="7"/>
      <c r="M29" s="7"/>
      <c r="N29" s="7"/>
      <c r="O29" s="267" t="s">
        <v>14</v>
      </c>
      <c r="P29" s="268"/>
      <c r="Q29" s="268"/>
      <c r="R29" s="268"/>
      <c r="S29" s="268"/>
      <c r="T29" s="268"/>
      <c r="U29" s="269"/>
      <c r="V29" s="229" t="s">
        <v>15</v>
      </c>
      <c r="W29" s="229"/>
      <c r="X29" s="230"/>
      <c r="Y29" s="1" t="s">
        <v>157</v>
      </c>
      <c r="Z29" s="120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  <c r="AX29" s="1"/>
      <c r="AY29" s="1"/>
      <c r="AZ29" s="1"/>
      <c r="BA29" s="1"/>
      <c r="BB29" s="1"/>
      <c r="BC29" s="1"/>
      <c r="BD29" s="1"/>
      <c r="BE29" s="1"/>
      <c r="BF29" s="1"/>
      <c r="BG29" s="1"/>
      <c r="BH29" s="1"/>
      <c r="BI29" s="1"/>
      <c r="BJ29" s="1"/>
      <c r="BK29" s="1"/>
      <c r="BL29" s="1"/>
      <c r="BM29" s="1"/>
      <c r="BN29" s="1"/>
      <c r="BO29" s="1"/>
      <c r="BP29" s="1"/>
      <c r="BQ29" s="1"/>
      <c r="BR29" s="1"/>
      <c r="BS29" s="1"/>
      <c r="BT29" s="1"/>
    </row>
    <row r="30" spans="1:72" ht="31.5" x14ac:dyDescent="0.25">
      <c r="A30" s="231" t="s">
        <v>16</v>
      </c>
      <c r="B30" s="231"/>
      <c r="C30" s="231"/>
      <c r="D30" s="231"/>
      <c r="E30" s="121" t="s">
        <v>8</v>
      </c>
      <c r="F30" s="121" t="s">
        <v>9</v>
      </c>
      <c r="G30" s="121" t="s">
        <v>159</v>
      </c>
      <c r="H30" s="121" t="s">
        <v>0</v>
      </c>
      <c r="I30" s="121" t="s">
        <v>9</v>
      </c>
      <c r="J30" s="121" t="s">
        <v>17</v>
      </c>
      <c r="K30" s="121" t="s">
        <v>0</v>
      </c>
      <c r="L30" s="121" t="s">
        <v>9</v>
      </c>
      <c r="M30" s="11" t="s">
        <v>160</v>
      </c>
      <c r="N30" s="121" t="s">
        <v>0</v>
      </c>
      <c r="O30" s="121" t="s">
        <v>18</v>
      </c>
      <c r="P30" s="121" t="s">
        <v>19</v>
      </c>
      <c r="Q30" s="121" t="s">
        <v>20</v>
      </c>
      <c r="R30" s="121" t="s">
        <v>21</v>
      </c>
      <c r="S30" s="121" t="s">
        <v>22</v>
      </c>
      <c r="T30" s="121" t="s">
        <v>23</v>
      </c>
      <c r="U30" s="121" t="s">
        <v>24</v>
      </c>
      <c r="V30" s="11" t="s">
        <v>25</v>
      </c>
      <c r="W30" s="11" t="s">
        <v>24</v>
      </c>
      <c r="X30" s="11" t="s">
        <v>26</v>
      </c>
      <c r="Y30" s="1"/>
      <c r="Z30" s="120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  <c r="AX30" s="1"/>
      <c r="AY30" s="1"/>
      <c r="AZ30" s="1"/>
      <c r="BA30" s="1"/>
      <c r="BB30" s="1"/>
      <c r="BC30" s="1"/>
      <c r="BD30" s="1"/>
      <c r="BE30" s="1"/>
      <c r="BF30" s="1"/>
      <c r="BG30" s="1"/>
      <c r="BH30" s="1"/>
      <c r="BI30" s="1"/>
      <c r="BJ30" s="1"/>
      <c r="BK30" s="1"/>
      <c r="BL30" s="1"/>
      <c r="BM30" s="1"/>
      <c r="BN30" s="1"/>
      <c r="BO30" s="1"/>
      <c r="BP30" s="1"/>
      <c r="BQ30" s="1"/>
      <c r="BR30" s="1"/>
      <c r="BS30" s="1"/>
      <c r="BT30" s="1"/>
    </row>
    <row r="31" spans="1:72" ht="15.75" x14ac:dyDescent="0.25">
      <c r="A31" s="232" t="s">
        <v>30</v>
      </c>
      <c r="B31" s="233"/>
      <c r="C31" s="233"/>
      <c r="D31" s="234"/>
      <c r="E31" s="124" t="s">
        <v>28</v>
      </c>
      <c r="F31" s="128"/>
      <c r="G31" s="12">
        <v>390.39</v>
      </c>
      <c r="H31" s="12">
        <f t="shared" ref="H31:H45" si="1">F31*G31</f>
        <v>0</v>
      </c>
      <c r="I31" s="128"/>
      <c r="J31" s="13">
        <v>358.81</v>
      </c>
      <c r="K31" s="13">
        <f t="shared" ref="K31:K53" si="2">I31*J31</f>
        <v>0</v>
      </c>
      <c r="L31" s="129"/>
      <c r="M31" s="13">
        <v>538.27</v>
      </c>
      <c r="N31" s="13">
        <f t="shared" ref="N31:N53" si="3">L31*M31</f>
        <v>0</v>
      </c>
      <c r="O31" s="107"/>
      <c r="P31" s="107"/>
      <c r="Q31" s="107"/>
      <c r="R31" s="107"/>
      <c r="S31" s="107"/>
      <c r="T31" s="107"/>
      <c r="U31" s="107"/>
      <c r="V31" s="15">
        <f t="shared" ref="V31:V53" si="4">+O31+P31+Q31+R31+S31+T31+U31-W31-X31</f>
        <v>0</v>
      </c>
      <c r="W31" s="107"/>
      <c r="X31" s="107"/>
      <c r="Y31" s="16"/>
      <c r="Z31" s="17"/>
      <c r="AA31" s="16"/>
      <c r="AB31" s="16"/>
      <c r="AC31" s="16"/>
      <c r="AD31" s="16"/>
      <c r="AE31" s="16"/>
      <c r="AF31" s="16"/>
      <c r="AG31" s="16"/>
      <c r="AH31" s="16"/>
      <c r="AI31" s="16"/>
      <c r="AJ31" s="16"/>
      <c r="AK31" s="16"/>
      <c r="AL31" s="16"/>
      <c r="AM31" s="16"/>
      <c r="AN31" s="16"/>
      <c r="AO31" s="16"/>
      <c r="AP31" s="16"/>
      <c r="AQ31" s="16"/>
      <c r="AR31" s="16"/>
      <c r="AS31" s="16"/>
      <c r="AT31" s="16"/>
      <c r="AU31" s="16"/>
      <c r="AV31" s="16"/>
      <c r="AW31" s="16"/>
      <c r="AX31" s="16"/>
      <c r="AY31" s="16"/>
      <c r="AZ31" s="16"/>
      <c r="BA31" s="16"/>
      <c r="BB31" s="16"/>
      <c r="BC31" s="16"/>
      <c r="BD31" s="16"/>
      <c r="BE31" s="16"/>
      <c r="BF31" s="16"/>
      <c r="BG31" s="16"/>
      <c r="BH31" s="16"/>
      <c r="BI31" s="16"/>
      <c r="BJ31" s="16"/>
      <c r="BK31" s="16"/>
      <c r="BL31" s="16"/>
      <c r="BM31" s="16"/>
      <c r="BN31" s="16"/>
      <c r="BO31" s="16"/>
      <c r="BP31" s="16"/>
      <c r="BQ31" s="16"/>
      <c r="BR31" s="16"/>
      <c r="BS31" s="16"/>
      <c r="BT31" s="16"/>
    </row>
    <row r="32" spans="1:72" ht="15.75" x14ac:dyDescent="0.25">
      <c r="A32" s="235" t="s">
        <v>163</v>
      </c>
      <c r="B32" s="235"/>
      <c r="C32" s="235"/>
      <c r="D32" s="235"/>
      <c r="E32" s="124" t="s">
        <v>28</v>
      </c>
      <c r="F32" s="128"/>
      <c r="G32" s="12">
        <v>243.45</v>
      </c>
      <c r="H32" s="12">
        <f t="shared" si="1"/>
        <v>0</v>
      </c>
      <c r="I32" s="128"/>
      <c r="J32" s="13">
        <v>211.59</v>
      </c>
      <c r="K32" s="13">
        <f t="shared" si="2"/>
        <v>0</v>
      </c>
      <c r="L32" s="129"/>
      <c r="M32" s="13">
        <v>317.39</v>
      </c>
      <c r="N32" s="13">
        <f t="shared" si="3"/>
        <v>0</v>
      </c>
      <c r="O32" s="107"/>
      <c r="P32" s="107"/>
      <c r="Q32" s="107"/>
      <c r="R32" s="107"/>
      <c r="S32" s="107"/>
      <c r="T32" s="107"/>
      <c r="U32" s="107"/>
      <c r="V32" s="15">
        <f t="shared" si="4"/>
        <v>0</v>
      </c>
      <c r="W32" s="107"/>
      <c r="X32" s="107"/>
      <c r="Y32" s="16" t="s">
        <v>168</v>
      </c>
      <c r="Z32" s="17"/>
      <c r="AA32" s="16"/>
      <c r="AB32" s="16"/>
      <c r="AC32" s="16"/>
      <c r="AD32" s="16"/>
      <c r="AE32" s="16"/>
      <c r="AF32" s="16"/>
      <c r="AG32" s="16"/>
      <c r="AH32" s="16"/>
      <c r="AI32" s="16"/>
      <c r="AJ32" s="16"/>
      <c r="AK32" s="16"/>
      <c r="AL32" s="16"/>
      <c r="AM32" s="16"/>
      <c r="AN32" s="16"/>
      <c r="AO32" s="16"/>
      <c r="AP32" s="16"/>
      <c r="AQ32" s="16"/>
      <c r="AR32" s="16"/>
      <c r="AS32" s="16"/>
      <c r="AT32" s="16"/>
      <c r="AU32" s="16"/>
      <c r="AV32" s="16"/>
      <c r="AW32" s="16"/>
      <c r="AX32" s="16"/>
      <c r="AY32" s="16"/>
      <c r="AZ32" s="16"/>
      <c r="BA32" s="16"/>
      <c r="BB32" s="16"/>
      <c r="BC32" s="16"/>
      <c r="BD32" s="16"/>
      <c r="BE32" s="16"/>
      <c r="BF32" s="16"/>
      <c r="BG32" s="16"/>
      <c r="BH32" s="16"/>
      <c r="BI32" s="16"/>
      <c r="BJ32" s="16"/>
      <c r="BK32" s="16"/>
      <c r="BL32" s="16"/>
      <c r="BM32" s="16"/>
      <c r="BN32" s="16"/>
      <c r="BO32" s="16"/>
      <c r="BP32" s="16"/>
      <c r="BQ32" s="16"/>
      <c r="BR32" s="16"/>
      <c r="BS32" s="16"/>
      <c r="BT32" s="16"/>
    </row>
    <row r="33" spans="1:72" s="102" customFormat="1" ht="15.75" x14ac:dyDescent="0.25">
      <c r="A33" s="232" t="s">
        <v>31</v>
      </c>
      <c r="B33" s="233"/>
      <c r="C33" s="233"/>
      <c r="D33" s="234"/>
      <c r="E33" s="124" t="s">
        <v>28</v>
      </c>
      <c r="F33" s="128"/>
      <c r="G33" s="14">
        <v>390.39</v>
      </c>
      <c r="H33" s="12">
        <f t="shared" si="1"/>
        <v>0</v>
      </c>
      <c r="I33" s="128"/>
      <c r="J33" s="13">
        <v>358.81</v>
      </c>
      <c r="K33" s="13">
        <f t="shared" si="2"/>
        <v>0</v>
      </c>
      <c r="L33" s="129"/>
      <c r="M33" s="13">
        <v>538.22</v>
      </c>
      <c r="N33" s="13">
        <f t="shared" si="3"/>
        <v>0</v>
      </c>
      <c r="O33" s="107"/>
      <c r="P33" s="107"/>
      <c r="Q33" s="107"/>
      <c r="R33" s="107"/>
      <c r="S33" s="107"/>
      <c r="T33" s="107"/>
      <c r="U33" s="107"/>
      <c r="V33" s="15">
        <f t="shared" si="4"/>
        <v>0</v>
      </c>
      <c r="W33" s="107"/>
      <c r="X33" s="107"/>
      <c r="Y33" s="7" t="s">
        <v>161</v>
      </c>
      <c r="Z33" s="101"/>
      <c r="AA33" s="7"/>
      <c r="AB33" s="7"/>
      <c r="AC33" s="7"/>
      <c r="AD33" s="7"/>
      <c r="AE33" s="7"/>
      <c r="AF33" s="7"/>
      <c r="AG33" s="7"/>
      <c r="AH33" s="7"/>
      <c r="AI33" s="7"/>
      <c r="AJ33" s="7"/>
      <c r="AK33" s="7"/>
      <c r="AL33" s="7"/>
      <c r="AM33" s="7"/>
      <c r="AN33" s="7"/>
      <c r="AO33" s="7"/>
      <c r="AP33" s="7"/>
      <c r="AQ33" s="7"/>
      <c r="AR33" s="7"/>
      <c r="AS33" s="7"/>
      <c r="AT33" s="7"/>
      <c r="AU33" s="7"/>
      <c r="AV33" s="7"/>
      <c r="AW33" s="7"/>
      <c r="AX33" s="7"/>
      <c r="AY33" s="7"/>
      <c r="AZ33" s="7"/>
      <c r="BA33" s="7"/>
      <c r="BB33" s="7"/>
      <c r="BC33" s="7"/>
      <c r="BD33" s="7"/>
      <c r="BE33" s="7"/>
      <c r="BF33" s="7"/>
      <c r="BG33" s="7"/>
      <c r="BH33" s="7"/>
      <c r="BI33" s="7"/>
      <c r="BJ33" s="7"/>
      <c r="BK33" s="7"/>
      <c r="BL33" s="7"/>
      <c r="BM33" s="7"/>
      <c r="BN33" s="7"/>
      <c r="BO33" s="7"/>
      <c r="BP33" s="7"/>
      <c r="BQ33" s="7"/>
      <c r="BR33" s="7"/>
      <c r="BS33" s="7"/>
      <c r="BT33" s="7"/>
    </row>
    <row r="34" spans="1:72" s="106" customFormat="1" ht="15.75" x14ac:dyDescent="0.25">
      <c r="A34" s="232" t="s">
        <v>32</v>
      </c>
      <c r="B34" s="233"/>
      <c r="C34" s="233"/>
      <c r="D34" s="234"/>
      <c r="E34" s="124" t="s">
        <v>28</v>
      </c>
      <c r="F34" s="128"/>
      <c r="G34" s="14">
        <v>231.67</v>
      </c>
      <c r="H34" s="12">
        <f t="shared" si="1"/>
        <v>0</v>
      </c>
      <c r="I34" s="128"/>
      <c r="J34" s="13">
        <v>197.63</v>
      </c>
      <c r="K34" s="13">
        <f t="shared" si="2"/>
        <v>0</v>
      </c>
      <c r="L34" s="129"/>
      <c r="M34" s="13">
        <v>296.45</v>
      </c>
      <c r="N34" s="13">
        <f t="shared" si="3"/>
        <v>0</v>
      </c>
      <c r="O34" s="107"/>
      <c r="P34" s="107"/>
      <c r="Q34" s="107"/>
      <c r="R34" s="107"/>
      <c r="S34" s="107"/>
      <c r="T34" s="107"/>
      <c r="U34" s="107"/>
      <c r="V34" s="15">
        <f t="shared" si="4"/>
        <v>0</v>
      </c>
      <c r="W34" s="107"/>
      <c r="X34" s="107"/>
      <c r="Y34" s="104" t="s">
        <v>162</v>
      </c>
      <c r="Z34" s="105"/>
      <c r="AA34" s="104"/>
      <c r="AB34" s="104"/>
      <c r="AC34" s="104"/>
      <c r="AD34" s="104"/>
      <c r="AE34" s="104"/>
      <c r="AF34" s="104"/>
      <c r="AG34" s="104"/>
      <c r="AH34" s="104"/>
      <c r="AI34" s="104"/>
      <c r="AJ34" s="104"/>
      <c r="AK34" s="104"/>
      <c r="AL34" s="104"/>
      <c r="AM34" s="104"/>
      <c r="AN34" s="104"/>
      <c r="AO34" s="104"/>
      <c r="AP34" s="104"/>
      <c r="AQ34" s="104"/>
      <c r="AR34" s="104"/>
      <c r="AS34" s="104"/>
      <c r="AT34" s="104"/>
      <c r="AU34" s="104"/>
      <c r="AV34" s="104"/>
      <c r="AW34" s="104"/>
      <c r="AX34" s="104"/>
      <c r="AY34" s="104"/>
      <c r="AZ34" s="104"/>
      <c r="BA34" s="104"/>
      <c r="BB34" s="104"/>
      <c r="BC34" s="104"/>
      <c r="BD34" s="104"/>
      <c r="BE34" s="104"/>
      <c r="BF34" s="104"/>
      <c r="BG34" s="104"/>
      <c r="BH34" s="104"/>
      <c r="BI34" s="104"/>
      <c r="BJ34" s="104"/>
      <c r="BK34" s="104"/>
      <c r="BL34" s="104"/>
      <c r="BM34" s="104"/>
      <c r="BN34" s="104"/>
      <c r="BO34" s="104"/>
      <c r="BP34" s="104"/>
      <c r="BQ34" s="104"/>
      <c r="BR34" s="104"/>
      <c r="BS34" s="104"/>
      <c r="BT34" s="104"/>
    </row>
    <row r="35" spans="1:72" ht="15.75" x14ac:dyDescent="0.25">
      <c r="A35" s="232" t="s">
        <v>33</v>
      </c>
      <c r="B35" s="233"/>
      <c r="C35" s="233"/>
      <c r="D35" s="234"/>
      <c r="E35" s="124" t="s">
        <v>28</v>
      </c>
      <c r="F35" s="128"/>
      <c r="G35" s="14">
        <v>310.62</v>
      </c>
      <c r="H35" s="12">
        <f t="shared" si="1"/>
        <v>0</v>
      </c>
      <c r="I35" s="128"/>
      <c r="J35" s="13">
        <v>291.24</v>
      </c>
      <c r="K35" s="13">
        <f t="shared" si="2"/>
        <v>0</v>
      </c>
      <c r="L35" s="129"/>
      <c r="M35" s="13">
        <v>436.87</v>
      </c>
      <c r="N35" s="13">
        <f t="shared" si="3"/>
        <v>0</v>
      </c>
      <c r="O35" s="107"/>
      <c r="P35" s="107"/>
      <c r="Q35" s="107"/>
      <c r="R35" s="107"/>
      <c r="S35" s="107"/>
      <c r="T35" s="107"/>
      <c r="U35" s="107"/>
      <c r="V35" s="15">
        <f t="shared" si="4"/>
        <v>0</v>
      </c>
      <c r="W35" s="107"/>
      <c r="X35" s="107"/>
      <c r="Y35" s="16"/>
      <c r="Z35" s="17"/>
      <c r="AA35" s="16"/>
      <c r="AB35" s="16"/>
      <c r="AC35" s="16"/>
      <c r="AD35" s="16"/>
      <c r="AE35" s="16"/>
      <c r="AF35" s="16"/>
      <c r="AG35" s="16"/>
      <c r="AH35" s="16"/>
      <c r="AI35" s="16"/>
      <c r="AJ35" s="16"/>
      <c r="AK35" s="16"/>
      <c r="AL35" s="16"/>
      <c r="AM35" s="16"/>
      <c r="AN35" s="16"/>
      <c r="AO35" s="16"/>
      <c r="AP35" s="16"/>
      <c r="AQ35" s="16"/>
      <c r="AR35" s="16"/>
      <c r="AS35" s="16"/>
      <c r="AT35" s="16"/>
      <c r="AU35" s="16"/>
      <c r="AV35" s="16"/>
      <c r="AW35" s="16"/>
      <c r="AX35" s="16"/>
      <c r="AY35" s="16"/>
      <c r="AZ35" s="16"/>
      <c r="BA35" s="16"/>
      <c r="BB35" s="16"/>
      <c r="BC35" s="16"/>
      <c r="BD35" s="16"/>
      <c r="BE35" s="16"/>
      <c r="BF35" s="16"/>
      <c r="BG35" s="16"/>
      <c r="BH35" s="16"/>
      <c r="BI35" s="16"/>
      <c r="BJ35" s="16"/>
      <c r="BK35" s="16"/>
      <c r="BL35" s="16"/>
      <c r="BM35" s="16"/>
      <c r="BN35" s="16"/>
      <c r="BO35" s="16"/>
      <c r="BP35" s="16"/>
      <c r="BQ35" s="16"/>
      <c r="BR35" s="16"/>
      <c r="BS35" s="16"/>
      <c r="BT35" s="16"/>
    </row>
    <row r="36" spans="1:72" s="100" customFormat="1" ht="15.75" x14ac:dyDescent="0.25">
      <c r="A36" s="232" t="s">
        <v>34</v>
      </c>
      <c r="B36" s="233"/>
      <c r="C36" s="233"/>
      <c r="D36" s="234"/>
      <c r="E36" s="124" t="s">
        <v>28</v>
      </c>
      <c r="F36" s="128"/>
      <c r="G36" s="14">
        <v>310.62</v>
      </c>
      <c r="H36" s="12">
        <f t="shared" si="1"/>
        <v>0</v>
      </c>
      <c r="I36" s="128"/>
      <c r="J36" s="13">
        <v>291.24</v>
      </c>
      <c r="K36" s="13">
        <f t="shared" si="2"/>
        <v>0</v>
      </c>
      <c r="L36" s="129"/>
      <c r="M36" s="13">
        <v>436.87</v>
      </c>
      <c r="N36" s="13">
        <f t="shared" si="3"/>
        <v>0</v>
      </c>
      <c r="O36" s="107"/>
      <c r="P36" s="107"/>
      <c r="Q36" s="107"/>
      <c r="R36" s="107"/>
      <c r="S36" s="107"/>
      <c r="T36" s="107"/>
      <c r="U36" s="107"/>
      <c r="V36" s="15">
        <f t="shared" si="4"/>
        <v>0</v>
      </c>
      <c r="W36" s="107"/>
      <c r="X36" s="107"/>
      <c r="Y36" s="16" t="s">
        <v>164</v>
      </c>
      <c r="Z36" s="17"/>
      <c r="AA36" s="16"/>
      <c r="AB36" s="16"/>
      <c r="AC36" s="16"/>
      <c r="AD36" s="16"/>
      <c r="AE36" s="16"/>
      <c r="AF36" s="16"/>
      <c r="AG36" s="16"/>
      <c r="AH36" s="16"/>
      <c r="AI36" s="16"/>
      <c r="AJ36" s="16"/>
      <c r="AK36" s="16"/>
      <c r="AL36" s="16"/>
      <c r="AM36" s="16"/>
      <c r="AN36" s="16"/>
      <c r="AO36" s="16"/>
      <c r="AP36" s="16"/>
      <c r="AQ36" s="16"/>
      <c r="AR36" s="16"/>
      <c r="AS36" s="16"/>
      <c r="AT36" s="16"/>
      <c r="AU36" s="16"/>
      <c r="AV36" s="16"/>
      <c r="AW36" s="16"/>
      <c r="AX36" s="16"/>
      <c r="AY36" s="16"/>
      <c r="AZ36" s="16"/>
      <c r="BA36" s="16"/>
      <c r="BB36" s="16"/>
      <c r="BC36" s="16"/>
      <c r="BD36" s="16"/>
      <c r="BE36" s="16"/>
      <c r="BF36" s="16"/>
      <c r="BG36" s="16"/>
      <c r="BH36" s="16"/>
      <c r="BI36" s="16"/>
      <c r="BJ36" s="16"/>
      <c r="BK36" s="16"/>
      <c r="BL36" s="16"/>
      <c r="BM36" s="16"/>
      <c r="BN36" s="16"/>
      <c r="BO36" s="16"/>
      <c r="BP36" s="16"/>
      <c r="BQ36" s="16"/>
      <c r="BR36" s="16"/>
      <c r="BS36" s="16"/>
      <c r="BT36" s="16"/>
    </row>
    <row r="37" spans="1:72" s="106" customFormat="1" ht="15.75" x14ac:dyDescent="0.25">
      <c r="A37" s="235" t="s">
        <v>128</v>
      </c>
      <c r="B37" s="235"/>
      <c r="C37" s="235"/>
      <c r="D37" s="235"/>
      <c r="E37" s="124" t="s">
        <v>28</v>
      </c>
      <c r="F37" s="128"/>
      <c r="G37" s="14"/>
      <c r="H37" s="12">
        <f t="shared" si="1"/>
        <v>0</v>
      </c>
      <c r="I37" s="128"/>
      <c r="J37" s="13">
        <v>0</v>
      </c>
      <c r="K37" s="13">
        <f t="shared" si="2"/>
        <v>0</v>
      </c>
      <c r="L37" s="129"/>
      <c r="M37" s="13">
        <v>0</v>
      </c>
      <c r="N37" s="13">
        <f t="shared" si="3"/>
        <v>0</v>
      </c>
      <c r="O37" s="107"/>
      <c r="P37" s="107"/>
      <c r="Q37" s="107"/>
      <c r="R37" s="107"/>
      <c r="S37" s="107"/>
      <c r="T37" s="108"/>
      <c r="U37" s="107"/>
      <c r="V37" s="15">
        <f t="shared" si="4"/>
        <v>0</v>
      </c>
      <c r="W37" s="107"/>
      <c r="X37" s="107"/>
      <c r="Y37" s="104"/>
      <c r="Z37" s="105"/>
      <c r="AA37" s="104"/>
      <c r="AB37" s="104"/>
      <c r="AC37" s="104"/>
      <c r="AD37" s="104"/>
      <c r="AE37" s="104"/>
      <c r="AF37" s="104"/>
      <c r="AG37" s="104"/>
      <c r="AH37" s="104"/>
      <c r="AI37" s="104"/>
      <c r="AJ37" s="104"/>
      <c r="AK37" s="104"/>
      <c r="AL37" s="104"/>
      <c r="AM37" s="104"/>
      <c r="AN37" s="104"/>
      <c r="AO37" s="104"/>
      <c r="AP37" s="104"/>
      <c r="AQ37" s="104"/>
      <c r="AR37" s="104"/>
      <c r="AS37" s="104"/>
      <c r="AT37" s="104"/>
      <c r="AU37" s="104"/>
      <c r="AV37" s="104"/>
      <c r="AW37" s="104"/>
      <c r="AX37" s="104"/>
      <c r="AY37" s="104"/>
      <c r="AZ37" s="104"/>
      <c r="BA37" s="104"/>
      <c r="BB37" s="104"/>
      <c r="BC37" s="104"/>
      <c r="BD37" s="104"/>
      <c r="BE37" s="104"/>
      <c r="BF37" s="104"/>
      <c r="BG37" s="104"/>
      <c r="BH37" s="104"/>
      <c r="BI37" s="104"/>
      <c r="BJ37" s="104"/>
      <c r="BK37" s="104"/>
      <c r="BL37" s="104"/>
      <c r="BM37" s="104"/>
      <c r="BN37" s="104"/>
      <c r="BO37" s="104"/>
      <c r="BP37" s="104"/>
      <c r="BQ37" s="104"/>
      <c r="BR37" s="104"/>
      <c r="BS37" s="104"/>
      <c r="BT37" s="104"/>
    </row>
    <row r="38" spans="1:72" ht="15.75" x14ac:dyDescent="0.25">
      <c r="A38" s="232" t="s">
        <v>35</v>
      </c>
      <c r="B38" s="233"/>
      <c r="C38" s="233"/>
      <c r="D38" s="234"/>
      <c r="E38" s="124" t="s">
        <v>28</v>
      </c>
      <c r="F38" s="128"/>
      <c r="G38" s="14">
        <v>199.6</v>
      </c>
      <c r="H38" s="14">
        <f t="shared" si="1"/>
        <v>0</v>
      </c>
      <c r="I38" s="128"/>
      <c r="J38" s="13">
        <v>159.6</v>
      </c>
      <c r="K38" s="13">
        <f t="shared" si="2"/>
        <v>0</v>
      </c>
      <c r="L38" s="129"/>
      <c r="M38" s="13">
        <v>239.4</v>
      </c>
      <c r="N38" s="13">
        <f t="shared" si="3"/>
        <v>0</v>
      </c>
      <c r="O38" s="107"/>
      <c r="P38" s="107"/>
      <c r="Q38" s="107"/>
      <c r="R38" s="107"/>
      <c r="S38" s="107"/>
      <c r="T38" s="108"/>
      <c r="U38" s="107"/>
      <c r="V38" s="15">
        <f t="shared" si="4"/>
        <v>0</v>
      </c>
      <c r="W38" s="107"/>
      <c r="X38" s="107"/>
      <c r="Y38" s="16"/>
      <c r="Z38" s="17"/>
      <c r="AA38" s="16"/>
      <c r="AB38" s="16"/>
      <c r="AC38" s="16"/>
      <c r="AD38" s="16"/>
      <c r="AE38" s="16"/>
      <c r="AF38" s="16"/>
      <c r="AG38" s="16"/>
      <c r="AH38" s="16"/>
      <c r="AI38" s="16"/>
      <c r="AJ38" s="16"/>
      <c r="AK38" s="16"/>
      <c r="AL38" s="16"/>
      <c r="AM38" s="16"/>
      <c r="AN38" s="16"/>
      <c r="AO38" s="16"/>
      <c r="AP38" s="16"/>
      <c r="AQ38" s="16"/>
      <c r="AR38" s="16"/>
      <c r="AS38" s="16"/>
      <c r="AT38" s="16"/>
      <c r="AU38" s="16"/>
      <c r="AV38" s="16"/>
      <c r="AW38" s="16"/>
      <c r="AX38" s="16"/>
      <c r="AY38" s="16"/>
      <c r="AZ38" s="16"/>
      <c r="BA38" s="16"/>
      <c r="BB38" s="16"/>
      <c r="BC38" s="16"/>
      <c r="BD38" s="16"/>
      <c r="BE38" s="16"/>
      <c r="BF38" s="16"/>
      <c r="BG38" s="16"/>
      <c r="BH38" s="16"/>
      <c r="BI38" s="16"/>
      <c r="BJ38" s="16"/>
      <c r="BK38" s="16"/>
      <c r="BL38" s="16"/>
      <c r="BM38" s="16"/>
      <c r="BN38" s="16"/>
      <c r="BO38" s="16"/>
      <c r="BP38" s="16"/>
      <c r="BQ38" s="16"/>
      <c r="BR38" s="16"/>
      <c r="BS38" s="16"/>
      <c r="BT38" s="16"/>
    </row>
    <row r="39" spans="1:72" s="106" customFormat="1" ht="15.75" x14ac:dyDescent="0.25">
      <c r="A39" s="235" t="s">
        <v>129</v>
      </c>
      <c r="B39" s="235"/>
      <c r="C39" s="235"/>
      <c r="D39" s="235"/>
      <c r="E39" s="124" t="s">
        <v>28</v>
      </c>
      <c r="F39" s="128"/>
      <c r="G39" s="14">
        <v>199.6</v>
      </c>
      <c r="H39" s="14">
        <f t="shared" si="1"/>
        <v>0</v>
      </c>
      <c r="I39" s="128"/>
      <c r="J39" s="13">
        <v>159.6</v>
      </c>
      <c r="K39" s="13">
        <f t="shared" si="2"/>
        <v>0</v>
      </c>
      <c r="L39" s="129"/>
      <c r="M39" s="13">
        <v>239.4</v>
      </c>
      <c r="N39" s="13">
        <f t="shared" si="3"/>
        <v>0</v>
      </c>
      <c r="O39" s="107"/>
      <c r="P39" s="107"/>
      <c r="Q39" s="107"/>
      <c r="R39" s="107"/>
      <c r="S39" s="107"/>
      <c r="T39" s="108"/>
      <c r="U39" s="107"/>
      <c r="V39" s="15">
        <f t="shared" si="4"/>
        <v>0</v>
      </c>
      <c r="W39" s="107"/>
      <c r="X39" s="107"/>
      <c r="Y39" s="104"/>
      <c r="Z39" s="105"/>
      <c r="AA39" s="104"/>
      <c r="AB39" s="104"/>
      <c r="AC39" s="104"/>
      <c r="AD39" s="104"/>
      <c r="AE39" s="104"/>
      <c r="AF39" s="104"/>
      <c r="AG39" s="104"/>
      <c r="AH39" s="104"/>
      <c r="AI39" s="104"/>
      <c r="AJ39" s="104"/>
      <c r="AK39" s="104"/>
      <c r="AL39" s="104"/>
      <c r="AM39" s="104"/>
      <c r="AN39" s="104"/>
      <c r="AO39" s="104"/>
      <c r="AP39" s="104"/>
      <c r="AQ39" s="104"/>
      <c r="AR39" s="104"/>
      <c r="AS39" s="104"/>
      <c r="AT39" s="104"/>
      <c r="AU39" s="104"/>
      <c r="AV39" s="104"/>
      <c r="AW39" s="104"/>
      <c r="AX39" s="104"/>
      <c r="AY39" s="104"/>
      <c r="AZ39" s="104"/>
      <c r="BA39" s="104"/>
      <c r="BB39" s="104"/>
      <c r="BC39" s="104"/>
      <c r="BD39" s="104"/>
      <c r="BE39" s="104"/>
      <c r="BF39" s="104"/>
      <c r="BG39" s="104"/>
      <c r="BH39" s="104"/>
      <c r="BI39" s="104"/>
      <c r="BJ39" s="104"/>
      <c r="BK39" s="104"/>
      <c r="BL39" s="104"/>
      <c r="BM39" s="104"/>
      <c r="BN39" s="104"/>
      <c r="BO39" s="104"/>
      <c r="BP39" s="104"/>
      <c r="BQ39" s="104"/>
      <c r="BR39" s="104"/>
      <c r="BS39" s="104"/>
      <c r="BT39" s="104"/>
    </row>
    <row r="40" spans="1:72" s="100" customFormat="1" ht="15.75" x14ac:dyDescent="0.25">
      <c r="A40" s="235" t="s">
        <v>36</v>
      </c>
      <c r="B40" s="235"/>
      <c r="C40" s="235"/>
      <c r="D40" s="235"/>
      <c r="E40" s="124" t="s">
        <v>28</v>
      </c>
      <c r="F40" s="128"/>
      <c r="G40" s="14">
        <v>199.6</v>
      </c>
      <c r="H40" s="14">
        <f t="shared" si="1"/>
        <v>0</v>
      </c>
      <c r="I40" s="128"/>
      <c r="J40" s="13">
        <v>159.6</v>
      </c>
      <c r="K40" s="13">
        <f t="shared" si="2"/>
        <v>0</v>
      </c>
      <c r="L40" s="129"/>
      <c r="M40" s="13">
        <v>239.4</v>
      </c>
      <c r="N40" s="13">
        <f t="shared" si="3"/>
        <v>0</v>
      </c>
      <c r="O40" s="107"/>
      <c r="P40" s="107"/>
      <c r="Q40" s="107"/>
      <c r="R40" s="107"/>
      <c r="S40" s="107"/>
      <c r="T40" s="108"/>
      <c r="U40" s="107"/>
      <c r="V40" s="15">
        <f t="shared" si="4"/>
        <v>0</v>
      </c>
      <c r="W40" s="107"/>
      <c r="X40" s="107"/>
      <c r="Y40" s="16"/>
      <c r="Z40" s="17"/>
      <c r="AA40" s="16"/>
      <c r="AB40" s="16"/>
      <c r="AC40" s="16"/>
      <c r="AD40" s="16"/>
      <c r="AE40" s="16"/>
      <c r="AF40" s="16"/>
      <c r="AG40" s="16"/>
      <c r="AH40" s="16"/>
      <c r="AI40" s="16"/>
      <c r="AJ40" s="16"/>
      <c r="AK40" s="16"/>
      <c r="AL40" s="16"/>
      <c r="AM40" s="16"/>
      <c r="AN40" s="16"/>
      <c r="AO40" s="16"/>
      <c r="AP40" s="16"/>
      <c r="AQ40" s="16"/>
      <c r="AR40" s="16"/>
      <c r="AS40" s="16"/>
      <c r="AT40" s="16"/>
      <c r="AU40" s="16"/>
      <c r="AV40" s="16"/>
      <c r="AW40" s="16"/>
      <c r="AX40" s="16"/>
      <c r="AY40" s="16"/>
      <c r="AZ40" s="16"/>
      <c r="BA40" s="16"/>
      <c r="BB40" s="16"/>
      <c r="BC40" s="16"/>
      <c r="BD40" s="16"/>
      <c r="BE40" s="16"/>
      <c r="BF40" s="16"/>
      <c r="BG40" s="16"/>
      <c r="BH40" s="16"/>
      <c r="BI40" s="16"/>
      <c r="BJ40" s="16"/>
      <c r="BK40" s="16"/>
      <c r="BL40" s="16"/>
      <c r="BM40" s="16"/>
      <c r="BN40" s="16"/>
      <c r="BO40" s="16"/>
      <c r="BP40" s="16"/>
      <c r="BQ40" s="16"/>
      <c r="BR40" s="16"/>
      <c r="BS40" s="16"/>
      <c r="BT40" s="16"/>
    </row>
    <row r="41" spans="1:72" s="100" customFormat="1" ht="15.75" x14ac:dyDescent="0.25">
      <c r="A41" s="235" t="s">
        <v>37</v>
      </c>
      <c r="B41" s="235"/>
      <c r="C41" s="235"/>
      <c r="D41" s="235"/>
      <c r="E41" s="124" t="s">
        <v>28</v>
      </c>
      <c r="F41" s="128"/>
      <c r="G41" s="14">
        <v>211.15</v>
      </c>
      <c r="H41" s="12">
        <f t="shared" si="1"/>
        <v>0</v>
      </c>
      <c r="I41" s="128"/>
      <c r="J41" s="13">
        <v>173.29</v>
      </c>
      <c r="K41" s="13">
        <f t="shared" si="2"/>
        <v>0</v>
      </c>
      <c r="L41" s="129"/>
      <c r="M41" s="13">
        <v>259.94</v>
      </c>
      <c r="N41" s="13">
        <f t="shared" si="3"/>
        <v>0</v>
      </c>
      <c r="O41" s="107"/>
      <c r="P41" s="107"/>
      <c r="Q41" s="107"/>
      <c r="R41" s="107"/>
      <c r="S41" s="107"/>
      <c r="T41" s="108"/>
      <c r="U41" s="107"/>
      <c r="V41" s="15">
        <f t="shared" si="4"/>
        <v>0</v>
      </c>
      <c r="W41" s="107"/>
      <c r="X41" s="107"/>
      <c r="Y41" s="16" t="s">
        <v>166</v>
      </c>
      <c r="Z41" s="17"/>
      <c r="AA41" s="16"/>
      <c r="AB41" s="16"/>
      <c r="AC41" s="16"/>
      <c r="AD41" s="16"/>
      <c r="AE41" s="16"/>
      <c r="AF41" s="16"/>
      <c r="AG41" s="16"/>
      <c r="AH41" s="16"/>
      <c r="AI41" s="16"/>
      <c r="AJ41" s="16"/>
      <c r="AK41" s="16"/>
      <c r="AL41" s="16"/>
      <c r="AM41" s="16"/>
      <c r="AN41" s="16"/>
      <c r="AO41" s="16"/>
      <c r="AP41" s="16"/>
      <c r="AQ41" s="16"/>
      <c r="AR41" s="16"/>
      <c r="AS41" s="16"/>
      <c r="AT41" s="16"/>
      <c r="AU41" s="16"/>
      <c r="AV41" s="16"/>
      <c r="AW41" s="16"/>
      <c r="AX41" s="16"/>
      <c r="AY41" s="16"/>
      <c r="AZ41" s="16"/>
      <c r="BA41" s="16"/>
      <c r="BB41" s="16"/>
      <c r="BC41" s="16"/>
      <c r="BD41" s="16"/>
      <c r="BE41" s="16"/>
      <c r="BF41" s="16"/>
      <c r="BG41" s="16"/>
      <c r="BH41" s="16"/>
      <c r="BI41" s="16"/>
      <c r="BJ41" s="16"/>
      <c r="BK41" s="16"/>
      <c r="BL41" s="16"/>
      <c r="BM41" s="16"/>
      <c r="BN41" s="16"/>
      <c r="BO41" s="16"/>
      <c r="BP41" s="16"/>
      <c r="BQ41" s="16"/>
      <c r="BR41" s="16"/>
      <c r="BS41" s="16"/>
      <c r="BT41" s="16"/>
    </row>
    <row r="42" spans="1:72" ht="15.75" x14ac:dyDescent="0.25">
      <c r="A42" s="235" t="s">
        <v>38</v>
      </c>
      <c r="B42" s="235"/>
      <c r="C42" s="235"/>
      <c r="D42" s="235"/>
      <c r="E42" s="124" t="s">
        <v>28</v>
      </c>
      <c r="F42" s="128"/>
      <c r="G42" s="14">
        <v>199.6</v>
      </c>
      <c r="H42" s="12">
        <f t="shared" si="1"/>
        <v>0</v>
      </c>
      <c r="I42" s="128"/>
      <c r="J42" s="13">
        <v>159.6</v>
      </c>
      <c r="K42" s="13">
        <f t="shared" si="2"/>
        <v>0</v>
      </c>
      <c r="L42" s="129"/>
      <c r="M42" s="13">
        <v>239.4</v>
      </c>
      <c r="N42" s="13">
        <f t="shared" si="3"/>
        <v>0</v>
      </c>
      <c r="O42" s="107"/>
      <c r="P42" s="107"/>
      <c r="Q42" s="107"/>
      <c r="R42" s="107"/>
      <c r="S42" s="107"/>
      <c r="T42" s="108"/>
      <c r="U42" s="107"/>
      <c r="V42" s="15">
        <f t="shared" si="4"/>
        <v>0</v>
      </c>
      <c r="W42" s="107"/>
      <c r="X42" s="107"/>
      <c r="Y42" s="16" t="s">
        <v>165</v>
      </c>
      <c r="Z42" s="17"/>
      <c r="AA42" s="16"/>
      <c r="AB42" s="16"/>
      <c r="AC42" s="16"/>
      <c r="AD42" s="16"/>
      <c r="AE42" s="16"/>
      <c r="AF42" s="16"/>
      <c r="AG42" s="16"/>
      <c r="AH42" s="16"/>
      <c r="AI42" s="16"/>
      <c r="AJ42" s="16"/>
      <c r="AK42" s="16"/>
      <c r="AL42" s="16"/>
      <c r="AM42" s="16"/>
      <c r="AN42" s="16"/>
      <c r="AO42" s="16"/>
      <c r="AP42" s="16"/>
      <c r="AQ42" s="16"/>
      <c r="AR42" s="16"/>
      <c r="AS42" s="16"/>
      <c r="AT42" s="16"/>
      <c r="AU42" s="16"/>
      <c r="AV42" s="16"/>
      <c r="AW42" s="16"/>
      <c r="AX42" s="16"/>
      <c r="AY42" s="16"/>
      <c r="AZ42" s="16"/>
      <c r="BA42" s="16"/>
      <c r="BB42" s="16"/>
      <c r="BC42" s="16"/>
      <c r="BD42" s="16"/>
      <c r="BE42" s="16"/>
      <c r="BF42" s="16"/>
      <c r="BG42" s="16"/>
      <c r="BH42" s="16"/>
      <c r="BI42" s="16"/>
      <c r="BJ42" s="16"/>
      <c r="BK42" s="16"/>
      <c r="BL42" s="16"/>
      <c r="BM42" s="16"/>
      <c r="BN42" s="16"/>
      <c r="BO42" s="16"/>
      <c r="BP42" s="16"/>
      <c r="BQ42" s="16"/>
      <c r="BR42" s="16"/>
      <c r="BS42" s="16"/>
      <c r="BT42" s="16"/>
    </row>
    <row r="43" spans="1:72" ht="15.75" x14ac:dyDescent="0.25">
      <c r="A43" s="235" t="s">
        <v>39</v>
      </c>
      <c r="B43" s="235"/>
      <c r="C43" s="235"/>
      <c r="D43" s="235"/>
      <c r="E43" s="124" t="s">
        <v>28</v>
      </c>
      <c r="F43" s="128"/>
      <c r="G43" s="14">
        <v>187.81</v>
      </c>
      <c r="H43" s="14">
        <f t="shared" si="1"/>
        <v>0</v>
      </c>
      <c r="I43" s="128"/>
      <c r="J43" s="13">
        <v>145.62</v>
      </c>
      <c r="K43" s="13">
        <f t="shared" si="2"/>
        <v>0</v>
      </c>
      <c r="L43" s="129"/>
      <c r="M43" s="13">
        <v>218.43</v>
      </c>
      <c r="N43" s="13">
        <f t="shared" si="3"/>
        <v>0</v>
      </c>
      <c r="O43" s="107"/>
      <c r="P43" s="107"/>
      <c r="Q43" s="107"/>
      <c r="R43" s="107"/>
      <c r="S43" s="107"/>
      <c r="T43" s="108"/>
      <c r="U43" s="107"/>
      <c r="V43" s="15">
        <f t="shared" si="4"/>
        <v>0</v>
      </c>
      <c r="W43" s="107"/>
      <c r="X43" s="107"/>
      <c r="Y43" s="16"/>
      <c r="Z43" s="17"/>
      <c r="AA43" s="16"/>
      <c r="AB43" s="16"/>
      <c r="AC43" s="16"/>
      <c r="AD43" s="16"/>
      <c r="AE43" s="16"/>
      <c r="AF43" s="16"/>
      <c r="AG43" s="16"/>
      <c r="AH43" s="16"/>
      <c r="AI43" s="16"/>
      <c r="AJ43" s="16"/>
      <c r="AK43" s="16"/>
      <c r="AL43" s="16"/>
      <c r="AM43" s="16"/>
      <c r="AN43" s="16"/>
      <c r="AO43" s="16"/>
      <c r="AP43" s="16"/>
      <c r="AQ43" s="16"/>
      <c r="AR43" s="16"/>
      <c r="AS43" s="16"/>
      <c r="AT43" s="16"/>
      <c r="AU43" s="16"/>
      <c r="AV43" s="16"/>
      <c r="AW43" s="16"/>
      <c r="AX43" s="16"/>
      <c r="AY43" s="16"/>
      <c r="AZ43" s="16"/>
      <c r="BA43" s="16"/>
      <c r="BB43" s="16"/>
      <c r="BC43" s="16"/>
      <c r="BD43" s="16"/>
      <c r="BE43" s="16"/>
      <c r="BF43" s="16"/>
      <c r="BG43" s="16"/>
      <c r="BH43" s="16"/>
      <c r="BI43" s="16"/>
      <c r="BJ43" s="16"/>
      <c r="BK43" s="16"/>
      <c r="BL43" s="16"/>
      <c r="BM43" s="16"/>
      <c r="BN43" s="16"/>
      <c r="BO43" s="16"/>
      <c r="BP43" s="16"/>
      <c r="BQ43" s="16"/>
      <c r="BR43" s="16"/>
      <c r="BS43" s="16"/>
      <c r="BT43" s="16"/>
    </row>
    <row r="44" spans="1:72" s="100" customFormat="1" ht="15.75" x14ac:dyDescent="0.25">
      <c r="A44" s="232" t="s">
        <v>40</v>
      </c>
      <c r="B44" s="233"/>
      <c r="C44" s="233"/>
      <c r="D44" s="234"/>
      <c r="E44" s="124" t="s">
        <v>28</v>
      </c>
      <c r="F44" s="128"/>
      <c r="G44" s="14"/>
      <c r="H44" s="14">
        <f t="shared" si="1"/>
        <v>0</v>
      </c>
      <c r="I44" s="128"/>
      <c r="J44" s="13">
        <v>0</v>
      </c>
      <c r="K44" s="13">
        <f t="shared" si="2"/>
        <v>0</v>
      </c>
      <c r="L44" s="129"/>
      <c r="M44" s="13"/>
      <c r="N44" s="13">
        <f t="shared" si="3"/>
        <v>0</v>
      </c>
      <c r="O44" s="107"/>
      <c r="P44" s="107"/>
      <c r="Q44" s="107"/>
      <c r="R44" s="107"/>
      <c r="S44" s="107"/>
      <c r="T44" s="108"/>
      <c r="U44" s="107"/>
      <c r="V44" s="15">
        <f t="shared" si="4"/>
        <v>0</v>
      </c>
      <c r="W44" s="107"/>
      <c r="X44" s="107"/>
      <c r="Y44" s="3"/>
      <c r="Z44" s="17"/>
      <c r="AA44" s="16"/>
      <c r="AB44" s="16"/>
      <c r="AC44" s="16"/>
      <c r="AD44" s="16"/>
      <c r="AE44" s="16"/>
      <c r="AF44" s="16"/>
      <c r="AG44" s="16"/>
      <c r="AH44" s="16"/>
      <c r="AI44" s="16"/>
      <c r="AJ44" s="16"/>
      <c r="AK44" s="16"/>
      <c r="AL44" s="16"/>
      <c r="AM44" s="16"/>
      <c r="AN44" s="16"/>
      <c r="AO44" s="16"/>
      <c r="AP44" s="16"/>
      <c r="AQ44" s="16"/>
      <c r="AR44" s="16"/>
      <c r="AS44" s="16"/>
      <c r="AT44" s="16"/>
      <c r="AU44" s="16"/>
      <c r="AV44" s="16"/>
      <c r="AW44" s="16"/>
      <c r="AX44" s="16"/>
      <c r="AY44" s="16"/>
      <c r="AZ44" s="16"/>
      <c r="BA44" s="16"/>
      <c r="BB44" s="16"/>
      <c r="BC44" s="16"/>
      <c r="BD44" s="16"/>
      <c r="BE44" s="16"/>
      <c r="BF44" s="16"/>
      <c r="BG44" s="16"/>
      <c r="BH44" s="16"/>
      <c r="BI44" s="16"/>
      <c r="BJ44" s="16"/>
      <c r="BK44" s="16"/>
      <c r="BL44" s="16"/>
      <c r="BM44" s="16"/>
      <c r="BN44" s="16"/>
      <c r="BO44" s="16"/>
      <c r="BP44" s="16"/>
      <c r="BQ44" s="16"/>
      <c r="BR44" s="16"/>
      <c r="BS44" s="16"/>
      <c r="BT44" s="16"/>
    </row>
    <row r="45" spans="1:72" s="100" customFormat="1" ht="15.75" x14ac:dyDescent="0.25">
      <c r="A45" s="232" t="s">
        <v>41</v>
      </c>
      <c r="B45" s="233"/>
      <c r="C45" s="233"/>
      <c r="D45" s="234"/>
      <c r="E45" s="124" t="s">
        <v>28</v>
      </c>
      <c r="F45" s="128"/>
      <c r="G45" s="14">
        <v>187.81</v>
      </c>
      <c r="H45" s="14">
        <f t="shared" si="1"/>
        <v>0</v>
      </c>
      <c r="I45" s="128"/>
      <c r="J45" s="13">
        <v>145.62</v>
      </c>
      <c r="K45" s="13">
        <f t="shared" si="2"/>
        <v>0</v>
      </c>
      <c r="L45" s="129"/>
      <c r="M45" s="13">
        <v>218.43</v>
      </c>
      <c r="N45" s="13">
        <f t="shared" si="3"/>
        <v>0</v>
      </c>
      <c r="O45" s="107"/>
      <c r="P45" s="107"/>
      <c r="Q45" s="107"/>
      <c r="R45" s="107"/>
      <c r="S45" s="107"/>
      <c r="T45" s="107"/>
      <c r="U45" s="107"/>
      <c r="V45" s="15">
        <f t="shared" si="4"/>
        <v>0</v>
      </c>
      <c r="W45" s="107"/>
      <c r="X45" s="107"/>
      <c r="Y45" s="16" t="s">
        <v>167</v>
      </c>
      <c r="Z45" s="17"/>
      <c r="AA45" s="16"/>
      <c r="AB45" s="16"/>
      <c r="AC45" s="16"/>
      <c r="AD45" s="16"/>
      <c r="AE45" s="16"/>
      <c r="AF45" s="16"/>
      <c r="AG45" s="16"/>
      <c r="AH45" s="16"/>
      <c r="AI45" s="16"/>
      <c r="AJ45" s="16"/>
      <c r="AK45" s="16"/>
      <c r="AL45" s="16"/>
      <c r="AM45" s="16"/>
      <c r="AN45" s="16"/>
      <c r="AO45" s="16"/>
      <c r="AP45" s="16"/>
      <c r="AQ45" s="16"/>
      <c r="AR45" s="16"/>
      <c r="AS45" s="16"/>
      <c r="AT45" s="16"/>
      <c r="AU45" s="16"/>
      <c r="AV45" s="16"/>
      <c r="AW45" s="16"/>
      <c r="AX45" s="16"/>
      <c r="AY45" s="16"/>
      <c r="AZ45" s="16"/>
      <c r="BA45" s="16"/>
      <c r="BB45" s="16"/>
      <c r="BC45" s="16"/>
      <c r="BD45" s="16"/>
      <c r="BE45" s="16"/>
      <c r="BF45" s="16"/>
      <c r="BG45" s="16"/>
      <c r="BH45" s="16"/>
      <c r="BI45" s="16"/>
      <c r="BJ45" s="16"/>
      <c r="BK45" s="16"/>
      <c r="BL45" s="16"/>
      <c r="BM45" s="16"/>
      <c r="BN45" s="16"/>
      <c r="BO45" s="16"/>
      <c r="BP45" s="16"/>
      <c r="BQ45" s="16"/>
      <c r="BR45" s="16"/>
      <c r="BS45" s="16"/>
      <c r="BT45" s="16"/>
    </row>
    <row r="46" spans="1:72" ht="15.75" x14ac:dyDescent="0.25">
      <c r="A46" s="232" t="s">
        <v>42</v>
      </c>
      <c r="B46" s="233"/>
      <c r="C46" s="233"/>
      <c r="D46" s="234"/>
      <c r="E46" s="124" t="s">
        <v>28</v>
      </c>
      <c r="F46" s="128"/>
      <c r="G46" s="14">
        <v>94.81</v>
      </c>
      <c r="H46" s="14">
        <f>F46*G46</f>
        <v>0</v>
      </c>
      <c r="I46" s="128"/>
      <c r="J46" s="13">
        <v>145.62</v>
      </c>
      <c r="K46" s="13">
        <f t="shared" si="2"/>
        <v>0</v>
      </c>
      <c r="L46" s="129"/>
      <c r="M46" s="13">
        <v>218.43</v>
      </c>
      <c r="N46" s="13">
        <f t="shared" si="3"/>
        <v>0</v>
      </c>
      <c r="O46" s="109"/>
      <c r="P46" s="109"/>
      <c r="Q46" s="109"/>
      <c r="R46" s="109"/>
      <c r="S46" s="109"/>
      <c r="T46" s="109"/>
      <c r="U46" s="107"/>
      <c r="V46" s="15">
        <f t="shared" si="4"/>
        <v>0</v>
      </c>
      <c r="W46" s="107"/>
      <c r="X46" s="107"/>
      <c r="Y46" s="16"/>
      <c r="Z46" s="17"/>
      <c r="AA46" s="16"/>
      <c r="AB46" s="16"/>
      <c r="AC46" s="16"/>
      <c r="AD46" s="16"/>
      <c r="AE46" s="16"/>
      <c r="AF46" s="16"/>
      <c r="AG46" s="16"/>
      <c r="AH46" s="16"/>
      <c r="AI46" s="16"/>
      <c r="AJ46" s="16"/>
      <c r="AK46" s="16"/>
      <c r="AL46" s="16"/>
      <c r="AM46" s="16"/>
      <c r="AN46" s="16"/>
      <c r="AO46" s="16"/>
      <c r="AP46" s="16"/>
      <c r="AQ46" s="16"/>
      <c r="AR46" s="16"/>
      <c r="AS46" s="16"/>
      <c r="AT46" s="16"/>
      <c r="AU46" s="16"/>
      <c r="AV46" s="16"/>
      <c r="AW46" s="16"/>
      <c r="AX46" s="16"/>
      <c r="AY46" s="16"/>
      <c r="AZ46" s="16"/>
      <c r="BA46" s="16"/>
      <c r="BB46" s="16"/>
      <c r="BC46" s="16"/>
      <c r="BD46" s="16"/>
      <c r="BE46" s="16"/>
      <c r="BF46" s="16"/>
      <c r="BG46" s="16"/>
      <c r="BH46" s="16"/>
      <c r="BI46" s="16"/>
      <c r="BJ46" s="16"/>
      <c r="BK46" s="16"/>
      <c r="BL46" s="16"/>
      <c r="BM46" s="16"/>
      <c r="BN46" s="16"/>
      <c r="BO46" s="16"/>
      <c r="BP46" s="16"/>
      <c r="BQ46" s="16"/>
      <c r="BR46" s="16"/>
      <c r="BS46" s="16"/>
      <c r="BT46" s="16"/>
    </row>
    <row r="47" spans="1:72" ht="15.75" x14ac:dyDescent="0.25">
      <c r="A47" s="166" t="s">
        <v>169</v>
      </c>
      <c r="B47" s="167"/>
      <c r="C47" s="167"/>
      <c r="D47" s="168"/>
      <c r="E47" s="124" t="s">
        <v>28</v>
      </c>
      <c r="F47" s="128"/>
      <c r="G47" s="12">
        <v>243.45</v>
      </c>
      <c r="H47" s="12">
        <f t="shared" ref="H47:H53" si="5">F47*G47</f>
        <v>0</v>
      </c>
      <c r="I47" s="128"/>
      <c r="J47" s="13">
        <v>211.59</v>
      </c>
      <c r="K47" s="13">
        <f t="shared" si="2"/>
        <v>0</v>
      </c>
      <c r="L47" s="129"/>
      <c r="M47" s="13">
        <v>317.39</v>
      </c>
      <c r="N47" s="13">
        <f t="shared" si="3"/>
        <v>0</v>
      </c>
      <c r="O47" s="109"/>
      <c r="P47" s="109"/>
      <c r="Q47" s="109"/>
      <c r="R47" s="109"/>
      <c r="S47" s="109"/>
      <c r="T47" s="109"/>
      <c r="U47" s="107"/>
      <c r="V47" s="15">
        <v>0</v>
      </c>
      <c r="W47" s="107"/>
      <c r="X47" s="107"/>
      <c r="Y47" s="16" t="s">
        <v>170</v>
      </c>
      <c r="Z47" s="17"/>
      <c r="AA47" s="16"/>
      <c r="AB47" s="16"/>
      <c r="AC47" s="16"/>
      <c r="AD47" s="16"/>
      <c r="AE47" s="16"/>
      <c r="AF47" s="16"/>
      <c r="AG47" s="16"/>
      <c r="AH47" s="16"/>
      <c r="AI47" s="16"/>
      <c r="AJ47" s="16"/>
      <c r="AK47" s="16"/>
      <c r="AL47" s="16"/>
      <c r="AM47" s="16"/>
      <c r="AN47" s="16"/>
      <c r="AO47" s="16"/>
      <c r="AP47" s="16"/>
      <c r="AQ47" s="16"/>
      <c r="AR47" s="16"/>
      <c r="AS47" s="16"/>
      <c r="AT47" s="16"/>
      <c r="AU47" s="16"/>
      <c r="AV47" s="16"/>
      <c r="AW47" s="16"/>
      <c r="AX47" s="16"/>
      <c r="AY47" s="16"/>
      <c r="AZ47" s="16"/>
      <c r="BA47" s="16"/>
      <c r="BB47" s="16"/>
      <c r="BC47" s="16"/>
      <c r="BD47" s="16"/>
      <c r="BE47" s="16"/>
      <c r="BF47" s="16"/>
      <c r="BG47" s="16"/>
      <c r="BH47" s="16"/>
      <c r="BI47" s="16"/>
      <c r="BJ47" s="16"/>
      <c r="BK47" s="16"/>
      <c r="BL47" s="16"/>
      <c r="BM47" s="16"/>
      <c r="BN47" s="16"/>
      <c r="BO47" s="16"/>
      <c r="BP47" s="16"/>
      <c r="BQ47" s="16"/>
      <c r="BR47" s="16"/>
      <c r="BS47" s="16"/>
      <c r="BT47" s="16"/>
    </row>
    <row r="48" spans="1:72" ht="15.75" x14ac:dyDescent="0.25">
      <c r="A48" s="235" t="s">
        <v>27</v>
      </c>
      <c r="B48" s="235"/>
      <c r="C48" s="235"/>
      <c r="D48" s="235"/>
      <c r="E48" s="124" t="s">
        <v>28</v>
      </c>
      <c r="F48" s="128"/>
      <c r="G48" s="12">
        <v>339.75</v>
      </c>
      <c r="H48" s="12">
        <f t="shared" si="5"/>
        <v>0</v>
      </c>
      <c r="I48" s="128"/>
      <c r="J48" s="13">
        <v>325.79000000000002</v>
      </c>
      <c r="K48" s="13">
        <f t="shared" si="2"/>
        <v>0</v>
      </c>
      <c r="L48" s="129"/>
      <c r="M48" s="13">
        <v>488.68</v>
      </c>
      <c r="N48" s="13">
        <f t="shared" si="3"/>
        <v>0</v>
      </c>
      <c r="O48" s="107"/>
      <c r="P48" s="107"/>
      <c r="Q48" s="107"/>
      <c r="R48" s="107"/>
      <c r="S48" s="107"/>
      <c r="T48" s="107"/>
      <c r="U48" s="107"/>
      <c r="V48" s="15">
        <f>+O48+P48+Q48+R48+S48+T48+U48-W48-X48</f>
        <v>0</v>
      </c>
      <c r="W48" s="107"/>
      <c r="X48" s="107"/>
      <c r="Y48" s="16"/>
      <c r="Z48" s="17"/>
      <c r="AA48" s="16"/>
      <c r="AB48" s="16"/>
      <c r="AC48" s="16"/>
      <c r="AD48" s="16"/>
      <c r="AE48" s="16"/>
      <c r="AF48" s="16"/>
      <c r="AG48" s="16"/>
      <c r="AH48" s="16"/>
      <c r="AI48" s="16"/>
      <c r="AJ48" s="16"/>
      <c r="AK48" s="16"/>
      <c r="AL48" s="16"/>
      <c r="AM48" s="16"/>
      <c r="AN48" s="16"/>
      <c r="AO48" s="16"/>
      <c r="AP48" s="16"/>
      <c r="AQ48" s="16"/>
      <c r="AR48" s="16"/>
      <c r="AS48" s="16"/>
      <c r="AT48" s="16"/>
      <c r="AU48" s="16"/>
      <c r="AV48" s="16"/>
      <c r="AW48" s="16"/>
      <c r="AX48" s="16"/>
      <c r="AY48" s="16"/>
      <c r="AZ48" s="16"/>
      <c r="BA48" s="16"/>
      <c r="BB48" s="16"/>
      <c r="BC48" s="16"/>
      <c r="BD48" s="16"/>
      <c r="BE48" s="16"/>
      <c r="BF48" s="16"/>
      <c r="BG48" s="16"/>
      <c r="BH48" s="16"/>
      <c r="BI48" s="16"/>
      <c r="BJ48" s="16"/>
      <c r="BK48" s="16"/>
      <c r="BL48" s="16"/>
      <c r="BM48" s="16"/>
      <c r="BN48" s="16"/>
      <c r="BO48" s="16"/>
      <c r="BP48" s="16"/>
      <c r="BQ48" s="16"/>
      <c r="BR48" s="16"/>
      <c r="BS48" s="16"/>
      <c r="BT48" s="16"/>
    </row>
    <row r="49" spans="1:72" ht="15.75" x14ac:dyDescent="0.25">
      <c r="A49" s="235" t="s">
        <v>29</v>
      </c>
      <c r="B49" s="235"/>
      <c r="C49" s="235"/>
      <c r="D49" s="235"/>
      <c r="E49" s="124" t="s">
        <v>28</v>
      </c>
      <c r="F49" s="128"/>
      <c r="G49" s="12">
        <v>339.75</v>
      </c>
      <c r="H49" s="12">
        <f t="shared" si="5"/>
        <v>0</v>
      </c>
      <c r="I49" s="128"/>
      <c r="J49" s="13">
        <v>325.79000000000002</v>
      </c>
      <c r="K49" s="13">
        <f t="shared" si="2"/>
        <v>0</v>
      </c>
      <c r="L49" s="129"/>
      <c r="M49" s="13">
        <v>488.68</v>
      </c>
      <c r="N49" s="13">
        <f t="shared" si="3"/>
        <v>0</v>
      </c>
      <c r="O49" s="107"/>
      <c r="P49" s="107"/>
      <c r="Q49" s="107"/>
      <c r="R49" s="107"/>
      <c r="S49" s="107"/>
      <c r="T49" s="107"/>
      <c r="U49" s="107"/>
      <c r="V49" s="15">
        <f>+O49+P49+Q49+R49+S49+T49+U49-W49-X49</f>
        <v>0</v>
      </c>
      <c r="W49" s="107"/>
      <c r="X49" s="107"/>
      <c r="Y49" s="16"/>
      <c r="Z49" s="17"/>
      <c r="AA49" s="16"/>
      <c r="AB49" s="16"/>
      <c r="AC49" s="16"/>
      <c r="AD49" s="16"/>
      <c r="AE49" s="16"/>
      <c r="AF49" s="16"/>
      <c r="AG49" s="16"/>
      <c r="AH49" s="16"/>
      <c r="AI49" s="16"/>
      <c r="AJ49" s="16"/>
      <c r="AK49" s="16"/>
      <c r="AL49" s="16"/>
      <c r="AM49" s="16"/>
      <c r="AN49" s="16"/>
      <c r="AO49" s="16"/>
      <c r="AP49" s="16"/>
      <c r="AQ49" s="16"/>
      <c r="AR49" s="16"/>
      <c r="AS49" s="16"/>
      <c r="AT49" s="16"/>
      <c r="AU49" s="16"/>
      <c r="AV49" s="16"/>
      <c r="AW49" s="16"/>
      <c r="AX49" s="16"/>
      <c r="AY49" s="16"/>
      <c r="AZ49" s="16"/>
      <c r="BA49" s="16"/>
      <c r="BB49" s="16"/>
      <c r="BC49" s="16"/>
      <c r="BD49" s="16"/>
      <c r="BE49" s="16"/>
      <c r="BF49" s="16"/>
      <c r="BG49" s="16"/>
      <c r="BH49" s="16"/>
      <c r="BI49" s="16"/>
      <c r="BJ49" s="16"/>
      <c r="BK49" s="16"/>
      <c r="BL49" s="16"/>
      <c r="BM49" s="16"/>
      <c r="BN49" s="16"/>
      <c r="BO49" s="16"/>
      <c r="BP49" s="16"/>
      <c r="BQ49" s="16"/>
      <c r="BR49" s="16"/>
      <c r="BS49" s="16"/>
      <c r="BT49" s="16"/>
    </row>
    <row r="50" spans="1:72" ht="15.75" x14ac:dyDescent="0.25">
      <c r="A50" s="232" t="s">
        <v>43</v>
      </c>
      <c r="B50" s="233"/>
      <c r="C50" s="233"/>
      <c r="D50" s="234"/>
      <c r="E50" s="124" t="s">
        <v>28</v>
      </c>
      <c r="F50" s="128"/>
      <c r="G50" s="12">
        <v>339.75</v>
      </c>
      <c r="H50" s="12">
        <f t="shared" si="5"/>
        <v>0</v>
      </c>
      <c r="I50" s="128"/>
      <c r="J50" s="13">
        <v>325.79000000000002</v>
      </c>
      <c r="K50" s="13">
        <f t="shared" si="2"/>
        <v>0</v>
      </c>
      <c r="L50" s="129"/>
      <c r="M50" s="13">
        <v>488.68</v>
      </c>
      <c r="N50" s="13">
        <f t="shared" si="3"/>
        <v>0</v>
      </c>
      <c r="O50" s="107"/>
      <c r="P50" s="107"/>
      <c r="Q50" s="107"/>
      <c r="R50" s="107"/>
      <c r="S50" s="107"/>
      <c r="T50" s="107"/>
      <c r="U50" s="107"/>
      <c r="V50" s="15">
        <f t="shared" si="4"/>
        <v>0</v>
      </c>
      <c r="W50" s="107"/>
      <c r="X50" s="107"/>
      <c r="Y50" s="16"/>
      <c r="Z50" s="17"/>
      <c r="AA50" s="16"/>
      <c r="AB50" s="16"/>
      <c r="AC50" s="16"/>
      <c r="AD50" s="16"/>
      <c r="AE50" s="16"/>
      <c r="AF50" s="16"/>
      <c r="AG50" s="16"/>
      <c r="AH50" s="16"/>
      <c r="AI50" s="16"/>
      <c r="AJ50" s="16"/>
      <c r="AK50" s="16"/>
      <c r="AL50" s="16"/>
      <c r="AM50" s="16"/>
      <c r="AN50" s="16"/>
      <c r="AO50" s="16"/>
      <c r="AP50" s="16"/>
      <c r="AQ50" s="16"/>
      <c r="AR50" s="16"/>
      <c r="AS50" s="16"/>
      <c r="AT50" s="16"/>
      <c r="AU50" s="16"/>
      <c r="AV50" s="16"/>
      <c r="AW50" s="16"/>
      <c r="AX50" s="16"/>
      <c r="AY50" s="16"/>
      <c r="AZ50" s="16"/>
      <c r="BA50" s="16"/>
      <c r="BB50" s="16"/>
      <c r="BC50" s="16"/>
      <c r="BD50" s="16"/>
      <c r="BE50" s="16"/>
      <c r="BF50" s="16"/>
      <c r="BG50" s="16"/>
      <c r="BH50" s="16"/>
      <c r="BI50" s="16"/>
      <c r="BJ50" s="16"/>
      <c r="BK50" s="16"/>
      <c r="BL50" s="16"/>
      <c r="BM50" s="16"/>
      <c r="BN50" s="16"/>
      <c r="BO50" s="16"/>
      <c r="BP50" s="16"/>
      <c r="BQ50" s="16"/>
      <c r="BR50" s="16"/>
      <c r="BS50" s="16"/>
      <c r="BT50" s="16"/>
    </row>
    <row r="51" spans="1:72" ht="15.75" x14ac:dyDescent="0.25">
      <c r="A51" s="232" t="s">
        <v>44</v>
      </c>
      <c r="B51" s="233"/>
      <c r="C51" s="233"/>
      <c r="D51" s="234"/>
      <c r="E51" s="124" t="s">
        <v>28</v>
      </c>
      <c r="F51" s="128"/>
      <c r="G51" s="12">
        <v>339.75</v>
      </c>
      <c r="H51" s="12">
        <f t="shared" si="5"/>
        <v>0</v>
      </c>
      <c r="I51" s="128"/>
      <c r="J51" s="13">
        <v>325.79000000000002</v>
      </c>
      <c r="K51" s="13">
        <f t="shared" si="2"/>
        <v>0</v>
      </c>
      <c r="L51" s="129"/>
      <c r="M51" s="13">
        <v>488.68</v>
      </c>
      <c r="N51" s="13">
        <f t="shared" si="3"/>
        <v>0</v>
      </c>
      <c r="O51" s="107"/>
      <c r="P51" s="107"/>
      <c r="Q51" s="107"/>
      <c r="R51" s="107"/>
      <c r="S51" s="107"/>
      <c r="T51" s="107"/>
      <c r="U51" s="107"/>
      <c r="V51" s="15">
        <f t="shared" si="4"/>
        <v>0</v>
      </c>
      <c r="W51" s="107"/>
      <c r="X51" s="107"/>
      <c r="Y51" s="1"/>
      <c r="Z51" s="120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  <c r="AX51" s="1"/>
      <c r="AY51" s="1"/>
      <c r="AZ51" s="1"/>
      <c r="BA51" s="1"/>
      <c r="BB51" s="1"/>
      <c r="BC51" s="1"/>
      <c r="BD51" s="1"/>
      <c r="BE51" s="1"/>
      <c r="BF51" s="1"/>
      <c r="BG51" s="1"/>
      <c r="BH51" s="1"/>
      <c r="BI51" s="1"/>
      <c r="BJ51" s="1"/>
      <c r="BK51" s="1"/>
      <c r="BL51" s="1"/>
      <c r="BM51" s="1"/>
      <c r="BN51" s="1"/>
      <c r="BO51" s="1"/>
      <c r="BP51" s="1"/>
      <c r="BQ51" s="1"/>
      <c r="BR51" s="1"/>
      <c r="BS51" s="1"/>
      <c r="BT51" s="1"/>
    </row>
    <row r="52" spans="1:72" ht="15.75" x14ac:dyDescent="0.25">
      <c r="A52" s="232" t="s">
        <v>45</v>
      </c>
      <c r="B52" s="233"/>
      <c r="C52" s="233"/>
      <c r="D52" s="234"/>
      <c r="E52" s="124" t="s">
        <v>28</v>
      </c>
      <c r="F52" s="128"/>
      <c r="G52" s="14">
        <v>1004.49</v>
      </c>
      <c r="H52" s="14">
        <f t="shared" si="5"/>
        <v>0</v>
      </c>
      <c r="I52" s="128"/>
      <c r="J52" s="13">
        <v>1164.98</v>
      </c>
      <c r="K52" s="13">
        <f t="shared" si="2"/>
        <v>0</v>
      </c>
      <c r="L52" s="129"/>
      <c r="M52" s="13">
        <v>1747.46</v>
      </c>
      <c r="N52" s="13">
        <f t="shared" si="3"/>
        <v>0</v>
      </c>
      <c r="O52" s="107"/>
      <c r="P52" s="107"/>
      <c r="Q52" s="107"/>
      <c r="R52" s="107"/>
      <c r="S52" s="107"/>
      <c r="T52" s="107"/>
      <c r="U52" s="107"/>
      <c r="V52" s="15">
        <f t="shared" si="4"/>
        <v>0</v>
      </c>
      <c r="W52" s="107"/>
      <c r="X52" s="107"/>
      <c r="Y52" s="1"/>
      <c r="Z52" s="120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  <c r="AX52" s="1"/>
      <c r="AY52" s="1"/>
      <c r="AZ52" s="1"/>
      <c r="BA52" s="1"/>
      <c r="BB52" s="1"/>
      <c r="BC52" s="1"/>
      <c r="BD52" s="1"/>
      <c r="BE52" s="1"/>
      <c r="BF52" s="1"/>
      <c r="BG52" s="1"/>
      <c r="BH52" s="1"/>
      <c r="BI52" s="1"/>
      <c r="BJ52" s="1"/>
      <c r="BK52" s="1"/>
      <c r="BL52" s="1"/>
      <c r="BM52" s="1"/>
      <c r="BN52" s="1"/>
      <c r="BO52" s="1"/>
      <c r="BP52" s="1"/>
      <c r="BQ52" s="1"/>
      <c r="BR52" s="1"/>
      <c r="BS52" s="1"/>
      <c r="BT52" s="1"/>
    </row>
    <row r="53" spans="1:72" ht="15.75" x14ac:dyDescent="0.25">
      <c r="A53" s="232" t="s">
        <v>46</v>
      </c>
      <c r="B53" s="233"/>
      <c r="C53" s="233"/>
      <c r="D53" s="234"/>
      <c r="E53" s="124" t="s">
        <v>28</v>
      </c>
      <c r="F53" s="128"/>
      <c r="G53" s="14"/>
      <c r="H53" s="14">
        <f t="shared" si="5"/>
        <v>0</v>
      </c>
      <c r="I53" s="128"/>
      <c r="J53" s="13">
        <f>G53*1.5</f>
        <v>0</v>
      </c>
      <c r="K53" s="13">
        <f t="shared" si="2"/>
        <v>0</v>
      </c>
      <c r="L53" s="129"/>
      <c r="M53" s="13">
        <f>G53*2.25</f>
        <v>0</v>
      </c>
      <c r="N53" s="13">
        <f t="shared" si="3"/>
        <v>0</v>
      </c>
      <c r="O53" s="107"/>
      <c r="P53" s="107"/>
      <c r="Q53" s="107"/>
      <c r="R53" s="107"/>
      <c r="S53" s="107"/>
      <c r="T53" s="107"/>
      <c r="U53" s="107"/>
      <c r="V53" s="15">
        <f t="shared" si="4"/>
        <v>0</v>
      </c>
      <c r="W53" s="107"/>
      <c r="X53" s="107"/>
      <c r="Y53" s="1"/>
      <c r="Z53" s="120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/>
      <c r="AX53" s="1"/>
      <c r="AY53" s="1"/>
      <c r="AZ53" s="1"/>
      <c r="BA53" s="1"/>
      <c r="BB53" s="1"/>
      <c r="BC53" s="1"/>
      <c r="BD53" s="1"/>
      <c r="BE53" s="1"/>
      <c r="BF53" s="1"/>
      <c r="BG53" s="1"/>
      <c r="BH53" s="1"/>
      <c r="BI53" s="1"/>
      <c r="BJ53" s="1"/>
      <c r="BK53" s="1"/>
      <c r="BL53" s="1"/>
      <c r="BM53" s="1"/>
      <c r="BN53" s="1"/>
      <c r="BO53" s="1"/>
      <c r="BP53" s="1"/>
      <c r="BQ53" s="1"/>
      <c r="BR53" s="1"/>
      <c r="BS53" s="1"/>
      <c r="BT53" s="1"/>
    </row>
    <row r="54" spans="1:72" ht="15.75" x14ac:dyDescent="0.25">
      <c r="A54" s="7"/>
      <c r="B54" s="7"/>
      <c r="C54" s="7"/>
      <c r="D54" s="7"/>
      <c r="E54" s="7"/>
      <c r="F54" s="7">
        <f>V54</f>
        <v>0</v>
      </c>
      <c r="G54" s="6" t="s">
        <v>47</v>
      </c>
      <c r="H54" s="19">
        <f>SUM(H31:H53)</f>
        <v>0</v>
      </c>
      <c r="I54" s="103"/>
      <c r="J54" s="6" t="s">
        <v>48</v>
      </c>
      <c r="K54" s="6">
        <f>SUM(K31:K53)</f>
        <v>0</v>
      </c>
      <c r="L54" s="145"/>
      <c r="M54" s="21" t="s">
        <v>48</v>
      </c>
      <c r="N54" s="6">
        <f>SUM(N31:N53)</f>
        <v>0</v>
      </c>
      <c r="O54" s="16"/>
      <c r="P54" s="16"/>
      <c r="Q54" s="16"/>
      <c r="R54" s="16"/>
      <c r="S54" s="16"/>
      <c r="T54" s="16"/>
      <c r="U54" s="16"/>
      <c r="V54" s="16"/>
      <c r="W54" s="16"/>
      <c r="X54" s="16"/>
      <c r="Y54" s="1"/>
      <c r="Z54" s="120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1"/>
      <c r="AX54" s="1"/>
      <c r="AY54" s="1"/>
      <c r="AZ54" s="1"/>
      <c r="BA54" s="1"/>
      <c r="BB54" s="1"/>
      <c r="BC54" s="1"/>
      <c r="BD54" s="1"/>
      <c r="BE54" s="1"/>
      <c r="BF54" s="1"/>
      <c r="BG54" s="1"/>
      <c r="BH54" s="1"/>
      <c r="BI54" s="1"/>
      <c r="BJ54" s="1"/>
      <c r="BK54" s="1"/>
      <c r="BL54" s="1"/>
      <c r="BM54" s="1"/>
      <c r="BN54" s="1"/>
      <c r="BO54" s="1"/>
      <c r="BP54" s="1"/>
      <c r="BQ54" s="1"/>
      <c r="BR54" s="1"/>
      <c r="BS54" s="1"/>
      <c r="BT54" s="1"/>
    </row>
    <row r="55" spans="1:72" ht="15.75" x14ac:dyDescent="0.25">
      <c r="A55" s="7"/>
      <c r="B55" s="7"/>
      <c r="C55" s="7"/>
      <c r="D55" s="7"/>
      <c r="E55" s="7"/>
      <c r="F55" s="7"/>
      <c r="G55" s="6" t="s">
        <v>49</v>
      </c>
      <c r="H55" s="19">
        <f>H54+K54+N54</f>
        <v>0</v>
      </c>
      <c r="I55" s="22"/>
      <c r="J55" s="22"/>
      <c r="K55" s="22"/>
      <c r="L55" s="7"/>
      <c r="M55" s="23"/>
      <c r="N55" s="22"/>
      <c r="O55" s="16"/>
      <c r="P55" s="16"/>
      <c r="Q55" s="16"/>
      <c r="R55" s="16"/>
      <c r="S55" s="16"/>
      <c r="T55" s="16"/>
      <c r="U55" s="16"/>
      <c r="V55" s="16"/>
      <c r="W55" s="16"/>
      <c r="X55" s="16"/>
      <c r="Y55" s="1"/>
      <c r="Z55" s="120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  <c r="AW55" s="1"/>
      <c r="AX55" s="1"/>
      <c r="AY55" s="1"/>
      <c r="AZ55" s="1"/>
      <c r="BA55" s="1"/>
      <c r="BB55" s="1"/>
      <c r="BC55" s="1"/>
      <c r="BD55" s="1"/>
      <c r="BE55" s="1"/>
      <c r="BF55" s="1"/>
      <c r="BG55" s="1"/>
      <c r="BH55" s="1"/>
      <c r="BI55" s="1"/>
      <c r="BJ55" s="1"/>
      <c r="BK55" s="1"/>
      <c r="BL55" s="1"/>
      <c r="BM55" s="1"/>
      <c r="BN55" s="1"/>
      <c r="BO55" s="1"/>
      <c r="BP55" s="1"/>
      <c r="BQ55" s="1"/>
      <c r="BR55" s="1"/>
      <c r="BS55" s="1"/>
      <c r="BT55" s="1"/>
    </row>
    <row r="56" spans="1:72" ht="15.75" x14ac:dyDescent="0.25">
      <c r="A56" s="238" t="s">
        <v>50</v>
      </c>
      <c r="B56" s="238"/>
      <c r="C56" s="238"/>
      <c r="D56" s="238"/>
      <c r="E56" s="24"/>
      <c r="F56" s="25"/>
      <c r="G56" s="26" t="s">
        <v>51</v>
      </c>
      <c r="H56" s="6">
        <f>+H55*0.06</f>
        <v>0</v>
      </c>
      <c r="I56" s="22"/>
      <c r="J56" s="7"/>
      <c r="K56" s="7"/>
      <c r="L56" s="7"/>
      <c r="M56" s="7"/>
      <c r="N56" s="7"/>
      <c r="O56" s="16"/>
      <c r="P56" s="16"/>
      <c r="Q56" s="16"/>
      <c r="R56" s="16"/>
      <c r="S56" s="16"/>
      <c r="T56" s="16"/>
      <c r="U56" s="16"/>
      <c r="V56" s="16"/>
      <c r="W56" s="16"/>
      <c r="X56" s="16"/>
      <c r="Y56" s="1"/>
      <c r="Z56" s="120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  <c r="AX56" s="1"/>
      <c r="AY56" s="1"/>
      <c r="AZ56" s="1"/>
      <c r="BA56" s="1"/>
      <c r="BB56" s="1"/>
      <c r="BC56" s="1"/>
      <c r="BD56" s="1"/>
      <c r="BE56" s="1"/>
      <c r="BF56" s="1"/>
      <c r="BG56" s="1"/>
      <c r="BH56" s="1"/>
      <c r="BI56" s="1"/>
      <c r="BJ56" s="1"/>
      <c r="BK56" s="1"/>
      <c r="BL56" s="1"/>
      <c r="BM56" s="1"/>
      <c r="BN56" s="1"/>
      <c r="BO56" s="1"/>
      <c r="BP56" s="1"/>
      <c r="BQ56" s="1"/>
      <c r="BR56" s="1"/>
      <c r="BS56" s="1"/>
      <c r="BT56" s="1"/>
    </row>
    <row r="57" spans="1:72" ht="15.75" x14ac:dyDescent="0.25">
      <c r="A57" s="27"/>
      <c r="B57" s="7"/>
      <c r="C57" s="7"/>
      <c r="D57" s="7"/>
      <c r="E57" s="7"/>
      <c r="F57" s="7"/>
      <c r="G57" s="124"/>
      <c r="H57" s="14">
        <f>+H55+H56</f>
        <v>0</v>
      </c>
      <c r="I57" s="22"/>
      <c r="J57" s="7"/>
      <c r="K57" s="7"/>
      <c r="L57" s="7"/>
      <c r="M57" s="7"/>
      <c r="N57" s="7"/>
      <c r="O57" s="16"/>
      <c r="P57" s="16"/>
      <c r="Q57" s="16"/>
      <c r="R57" s="16"/>
      <c r="S57" s="16"/>
      <c r="T57" s="16"/>
      <c r="U57" s="16"/>
      <c r="V57" s="16"/>
      <c r="W57" s="16"/>
      <c r="X57" s="16"/>
      <c r="Y57" s="1"/>
      <c r="Z57" s="120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  <c r="AX57" s="1"/>
      <c r="AY57" s="1"/>
      <c r="AZ57" s="1"/>
      <c r="BA57" s="1"/>
      <c r="BB57" s="1"/>
      <c r="BC57" s="1"/>
      <c r="BD57" s="1"/>
      <c r="BE57" s="1"/>
      <c r="BF57" s="1"/>
      <c r="BG57" s="1"/>
      <c r="BH57" s="1"/>
      <c r="BI57" s="1"/>
      <c r="BJ57" s="1"/>
      <c r="BK57" s="1"/>
      <c r="BL57" s="1"/>
      <c r="BM57" s="1"/>
      <c r="BN57" s="1"/>
      <c r="BO57" s="1"/>
      <c r="BP57" s="1"/>
      <c r="BQ57" s="1"/>
      <c r="BR57" s="1"/>
      <c r="BS57" s="1"/>
      <c r="BT57" s="1"/>
    </row>
    <row r="58" spans="1:72" ht="15.75" x14ac:dyDescent="0.25">
      <c r="A58" s="239" t="s">
        <v>52</v>
      </c>
      <c r="B58" s="239"/>
      <c r="C58" s="239"/>
      <c r="D58" s="239"/>
      <c r="E58" s="16"/>
      <c r="F58" s="16"/>
      <c r="G58" s="16"/>
      <c r="H58" s="16"/>
      <c r="I58" s="16"/>
      <c r="J58" s="16"/>
      <c r="K58" s="16"/>
      <c r="L58" s="16"/>
      <c r="M58" s="16"/>
      <c r="N58" s="16"/>
      <c r="O58" s="16"/>
      <c r="P58" s="16"/>
      <c r="Q58" s="16"/>
      <c r="R58" s="16"/>
      <c r="S58" s="16"/>
      <c r="T58" s="16"/>
      <c r="U58" s="16"/>
      <c r="V58" s="16"/>
      <c r="W58" s="16"/>
      <c r="X58" s="16"/>
      <c r="Y58" s="1"/>
      <c r="Z58" s="120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  <c r="AX58" s="1"/>
      <c r="AY58" s="1"/>
      <c r="AZ58" s="1"/>
      <c r="BA58" s="1"/>
      <c r="BB58" s="1"/>
      <c r="BC58" s="1"/>
      <c r="BD58" s="1"/>
      <c r="BE58" s="1"/>
      <c r="BF58" s="1"/>
      <c r="BG58" s="1"/>
      <c r="BH58" s="1"/>
      <c r="BI58" s="1"/>
      <c r="BJ58" s="1"/>
      <c r="BK58" s="1"/>
      <c r="BL58" s="1"/>
      <c r="BM58" s="1"/>
      <c r="BN58" s="1"/>
      <c r="BO58" s="1"/>
      <c r="BP58" s="1"/>
      <c r="BQ58" s="1"/>
      <c r="BR58" s="1"/>
      <c r="BS58" s="1"/>
      <c r="BT58" s="1"/>
    </row>
    <row r="59" spans="1:72" ht="15.75" x14ac:dyDescent="0.25">
      <c r="A59" s="240" t="s">
        <v>7</v>
      </c>
      <c r="B59" s="240"/>
      <c r="C59" s="240"/>
      <c r="D59" s="240"/>
      <c r="E59" s="28" t="s">
        <v>8</v>
      </c>
      <c r="F59" s="118" t="s">
        <v>9</v>
      </c>
      <c r="G59" s="118" t="s">
        <v>10</v>
      </c>
      <c r="H59" s="118" t="s">
        <v>0</v>
      </c>
      <c r="I59" s="38"/>
      <c r="J59" s="118" t="s">
        <v>53</v>
      </c>
      <c r="K59" s="118" t="s">
        <v>54</v>
      </c>
      <c r="L59" s="118" t="s">
        <v>55</v>
      </c>
      <c r="M59" s="118" t="s">
        <v>56</v>
      </c>
      <c r="N59" s="16"/>
      <c r="O59" s="16"/>
      <c r="P59" s="16"/>
      <c r="Q59" s="16"/>
      <c r="R59" s="16"/>
      <c r="S59" s="16"/>
      <c r="T59" s="16"/>
      <c r="U59" s="16"/>
      <c r="V59" s="16"/>
      <c r="W59" s="16"/>
      <c r="X59" s="16"/>
      <c r="Y59" s="1"/>
      <c r="Z59" s="120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  <c r="AX59" s="1"/>
      <c r="AY59" s="1"/>
      <c r="AZ59" s="1"/>
      <c r="BA59" s="1"/>
      <c r="BB59" s="1"/>
      <c r="BC59" s="1"/>
      <c r="BD59" s="1"/>
      <c r="BE59" s="1"/>
      <c r="BF59" s="1"/>
      <c r="BG59" s="1"/>
      <c r="BH59" s="1"/>
      <c r="BI59" s="1"/>
      <c r="BJ59" s="1"/>
      <c r="BK59" s="1"/>
      <c r="BL59" s="1"/>
      <c r="BM59" s="1"/>
      <c r="BN59" s="1"/>
      <c r="BO59" s="1"/>
      <c r="BP59" s="1"/>
      <c r="BQ59" s="1"/>
      <c r="BR59" s="1"/>
      <c r="BS59" s="1"/>
      <c r="BT59" s="1"/>
    </row>
    <row r="60" spans="1:72" ht="33.6" customHeight="1" x14ac:dyDescent="0.25">
      <c r="A60" s="236" t="s">
        <v>133</v>
      </c>
      <c r="B60" s="237"/>
      <c r="C60" s="237"/>
      <c r="D60" s="237"/>
      <c r="E60" s="31" t="s">
        <v>57</v>
      </c>
      <c r="F60" s="146">
        <v>0</v>
      </c>
      <c r="G60" s="127">
        <v>170</v>
      </c>
      <c r="H60" s="127">
        <f t="shared" ref="H60:H66" si="6">F60*G60</f>
        <v>0</v>
      </c>
      <c r="I60" s="30"/>
      <c r="J60" s="31"/>
      <c r="K60" s="31"/>
      <c r="L60" s="31"/>
      <c r="M60" s="31">
        <f t="shared" ref="M60:M66" si="7">J60+K60+L60</f>
        <v>0</v>
      </c>
      <c r="N60" s="16"/>
      <c r="O60" s="16"/>
      <c r="P60" s="16"/>
      <c r="Q60" s="16"/>
      <c r="R60" s="16"/>
      <c r="S60" s="16"/>
      <c r="T60" s="16"/>
      <c r="U60" s="16"/>
      <c r="V60" s="16"/>
      <c r="W60" s="16"/>
      <c r="X60" s="16"/>
      <c r="Y60" s="1"/>
      <c r="Z60" s="120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  <c r="AX60" s="1"/>
      <c r="AY60" s="1"/>
      <c r="AZ60" s="1"/>
      <c r="BA60" s="1"/>
      <c r="BB60" s="1"/>
      <c r="BC60" s="1"/>
      <c r="BD60" s="1"/>
      <c r="BE60" s="1"/>
      <c r="BF60" s="1"/>
      <c r="BG60" s="1"/>
      <c r="BH60" s="1"/>
      <c r="BI60" s="1"/>
      <c r="BJ60" s="1"/>
      <c r="BK60" s="1"/>
      <c r="BL60" s="1"/>
      <c r="BM60" s="1"/>
      <c r="BN60" s="1"/>
      <c r="BO60" s="1"/>
      <c r="BP60" s="1"/>
      <c r="BQ60" s="1"/>
      <c r="BR60" s="1"/>
      <c r="BS60" s="1"/>
      <c r="BT60" s="1"/>
    </row>
    <row r="61" spans="1:72" ht="33.6" customHeight="1" x14ac:dyDescent="0.25">
      <c r="A61" s="236" t="s">
        <v>134</v>
      </c>
      <c r="B61" s="237"/>
      <c r="C61" s="237"/>
      <c r="D61" s="237"/>
      <c r="E61" s="31" t="s">
        <v>57</v>
      </c>
      <c r="F61" s="146">
        <v>0</v>
      </c>
      <c r="G61" s="127">
        <v>150</v>
      </c>
      <c r="H61" s="127">
        <f t="shared" si="6"/>
        <v>0</v>
      </c>
      <c r="I61" s="30"/>
      <c r="J61" s="31"/>
      <c r="K61" s="31"/>
      <c r="L61" s="31"/>
      <c r="M61" s="31">
        <f t="shared" si="7"/>
        <v>0</v>
      </c>
      <c r="N61" s="16"/>
      <c r="O61" s="16"/>
      <c r="P61" s="16"/>
      <c r="Q61" s="16"/>
      <c r="R61" s="16"/>
      <c r="S61" s="16"/>
      <c r="T61" s="16"/>
      <c r="U61" s="16"/>
      <c r="V61" s="16"/>
      <c r="W61" s="16"/>
      <c r="X61" s="16"/>
      <c r="Y61" s="1"/>
      <c r="Z61" s="120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  <c r="AX61" s="1"/>
      <c r="AY61" s="1"/>
      <c r="AZ61" s="1"/>
      <c r="BA61" s="1"/>
      <c r="BB61" s="1"/>
      <c r="BC61" s="1"/>
      <c r="BD61" s="1"/>
      <c r="BE61" s="1"/>
      <c r="BF61" s="1"/>
      <c r="BG61" s="1"/>
      <c r="BH61" s="1"/>
      <c r="BI61" s="1"/>
      <c r="BJ61" s="1"/>
      <c r="BK61" s="1"/>
      <c r="BL61" s="1"/>
      <c r="BM61" s="1"/>
      <c r="BN61" s="1"/>
      <c r="BO61" s="1"/>
      <c r="BP61" s="1"/>
      <c r="BQ61" s="1"/>
      <c r="BR61" s="1"/>
      <c r="BS61" s="1"/>
      <c r="BT61" s="1"/>
    </row>
    <row r="62" spans="1:72" ht="33.6" customHeight="1" x14ac:dyDescent="0.25">
      <c r="A62" s="236" t="s">
        <v>58</v>
      </c>
      <c r="B62" s="237"/>
      <c r="C62" s="237"/>
      <c r="D62" s="237"/>
      <c r="E62" s="31" t="s">
        <v>57</v>
      </c>
      <c r="F62" s="146">
        <v>0</v>
      </c>
      <c r="G62" s="127">
        <v>80</v>
      </c>
      <c r="H62" s="127">
        <f t="shared" si="6"/>
        <v>0</v>
      </c>
      <c r="I62" s="30"/>
      <c r="J62" s="31"/>
      <c r="K62" s="31"/>
      <c r="L62" s="31"/>
      <c r="M62" s="31">
        <f t="shared" si="7"/>
        <v>0</v>
      </c>
      <c r="N62" s="16"/>
      <c r="O62" s="16"/>
      <c r="P62" s="16"/>
      <c r="Q62" s="16"/>
      <c r="R62" s="16"/>
      <c r="S62" s="16"/>
      <c r="T62" s="16"/>
      <c r="U62" s="16"/>
      <c r="V62" s="16"/>
      <c r="W62" s="16"/>
      <c r="X62" s="16"/>
      <c r="Y62" s="1"/>
      <c r="Z62" s="120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  <c r="AY62" s="1"/>
      <c r="AZ62" s="1"/>
      <c r="BA62" s="1"/>
      <c r="BB62" s="1"/>
      <c r="BC62" s="1"/>
      <c r="BD62" s="1"/>
      <c r="BE62" s="1"/>
      <c r="BF62" s="1"/>
      <c r="BG62" s="1"/>
      <c r="BH62" s="1"/>
      <c r="BI62" s="1"/>
      <c r="BJ62" s="1"/>
      <c r="BK62" s="1"/>
      <c r="BL62" s="1"/>
      <c r="BM62" s="1"/>
      <c r="BN62" s="1"/>
      <c r="BO62" s="1"/>
      <c r="BP62" s="1"/>
      <c r="BQ62" s="1"/>
      <c r="BR62" s="1"/>
      <c r="BS62" s="1"/>
      <c r="BT62" s="1"/>
    </row>
    <row r="63" spans="1:72" ht="33.6" customHeight="1" x14ac:dyDescent="0.25">
      <c r="A63" s="236" t="s">
        <v>135</v>
      </c>
      <c r="B63" s="237"/>
      <c r="C63" s="237"/>
      <c r="D63" s="237"/>
      <c r="E63" s="31" t="s">
        <v>57</v>
      </c>
      <c r="F63" s="146">
        <v>0</v>
      </c>
      <c r="G63" s="127">
        <v>150</v>
      </c>
      <c r="H63" s="127">
        <f t="shared" si="6"/>
        <v>0</v>
      </c>
      <c r="I63" s="30"/>
      <c r="J63" s="31"/>
      <c r="K63" s="31"/>
      <c r="L63" s="31"/>
      <c r="M63" s="31">
        <f t="shared" si="7"/>
        <v>0</v>
      </c>
      <c r="N63" s="16"/>
      <c r="O63" s="16"/>
      <c r="P63" s="16"/>
      <c r="Q63" s="16"/>
      <c r="R63" s="16"/>
      <c r="S63" s="16"/>
      <c r="T63" s="16"/>
      <c r="U63" s="16"/>
      <c r="V63" s="16"/>
      <c r="W63" s="16"/>
      <c r="X63" s="16"/>
      <c r="Y63" s="1"/>
      <c r="Z63" s="120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  <c r="AY63" s="1"/>
      <c r="AZ63" s="1"/>
      <c r="BA63" s="1"/>
      <c r="BB63" s="1"/>
      <c r="BC63" s="1"/>
      <c r="BD63" s="1"/>
      <c r="BE63" s="1"/>
      <c r="BF63" s="1"/>
      <c r="BG63" s="1"/>
      <c r="BH63" s="1"/>
      <c r="BI63" s="1"/>
      <c r="BJ63" s="1"/>
      <c r="BK63" s="1"/>
      <c r="BL63" s="1"/>
      <c r="BM63" s="1"/>
      <c r="BN63" s="1"/>
      <c r="BO63" s="1"/>
      <c r="BP63" s="1"/>
      <c r="BQ63" s="1"/>
      <c r="BR63" s="1"/>
      <c r="BS63" s="1"/>
      <c r="BT63" s="1"/>
    </row>
    <row r="64" spans="1:72" ht="33.6" customHeight="1" x14ac:dyDescent="0.25">
      <c r="A64" s="236" t="s">
        <v>183</v>
      </c>
      <c r="B64" s="237"/>
      <c r="C64" s="237"/>
      <c r="D64" s="237"/>
      <c r="E64" s="31" t="s">
        <v>57</v>
      </c>
      <c r="F64" s="146"/>
      <c r="G64" s="127">
        <v>220</v>
      </c>
      <c r="H64" s="127">
        <f t="shared" si="6"/>
        <v>0</v>
      </c>
      <c r="I64" s="30"/>
      <c r="J64" s="31"/>
      <c r="K64" s="31"/>
      <c r="L64" s="31"/>
      <c r="M64" s="31">
        <f t="shared" si="7"/>
        <v>0</v>
      </c>
      <c r="N64" s="16"/>
      <c r="O64" s="16"/>
      <c r="P64" s="16"/>
      <c r="Q64" s="16"/>
      <c r="R64" s="16"/>
      <c r="S64" s="16"/>
      <c r="T64" s="16"/>
      <c r="U64" s="16"/>
      <c r="V64" s="16"/>
      <c r="W64" s="16"/>
      <c r="X64" s="16"/>
      <c r="Y64" s="1"/>
      <c r="Z64" s="120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  <c r="AX64" s="1"/>
      <c r="AY64" s="1"/>
      <c r="AZ64" s="1"/>
      <c r="BA64" s="1"/>
      <c r="BB64" s="1"/>
      <c r="BC64" s="1"/>
      <c r="BD64" s="1"/>
      <c r="BE64" s="1"/>
      <c r="BF64" s="1"/>
      <c r="BG64" s="1"/>
      <c r="BH64" s="1"/>
      <c r="BI64" s="1"/>
      <c r="BJ64" s="1"/>
      <c r="BK64" s="1"/>
      <c r="BL64" s="1"/>
      <c r="BM64" s="1"/>
      <c r="BN64" s="1"/>
      <c r="BO64" s="1"/>
      <c r="BP64" s="1"/>
      <c r="BQ64" s="1"/>
      <c r="BR64" s="1"/>
      <c r="BS64" s="1"/>
      <c r="BT64" s="1"/>
    </row>
    <row r="65" spans="1:72" ht="33.6" customHeight="1" x14ac:dyDescent="0.25">
      <c r="A65" s="236"/>
      <c r="B65" s="237"/>
      <c r="C65" s="237"/>
      <c r="D65" s="237"/>
      <c r="E65" s="31" t="s">
        <v>59</v>
      </c>
      <c r="F65" s="146">
        <v>0</v>
      </c>
      <c r="G65" s="127"/>
      <c r="H65" s="127">
        <f t="shared" si="6"/>
        <v>0</v>
      </c>
      <c r="I65" s="30"/>
      <c r="J65" s="31"/>
      <c r="K65" s="31"/>
      <c r="L65" s="31"/>
      <c r="M65" s="31">
        <f t="shared" si="7"/>
        <v>0</v>
      </c>
      <c r="N65" s="16"/>
      <c r="O65" s="16"/>
      <c r="P65" s="16"/>
      <c r="Q65" s="16"/>
      <c r="R65" s="16"/>
      <c r="S65" s="16"/>
      <c r="T65" s="16"/>
      <c r="U65" s="16"/>
      <c r="V65" s="16"/>
      <c r="W65" s="16"/>
      <c r="X65" s="16"/>
      <c r="Y65" s="1"/>
      <c r="Z65" s="120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  <c r="AX65" s="1"/>
      <c r="AY65" s="1"/>
      <c r="AZ65" s="1"/>
      <c r="BA65" s="1"/>
      <c r="BB65" s="1"/>
      <c r="BC65" s="1"/>
      <c r="BD65" s="1"/>
      <c r="BE65" s="1"/>
      <c r="BF65" s="1"/>
      <c r="BG65" s="1"/>
      <c r="BH65" s="1"/>
      <c r="BI65" s="1"/>
      <c r="BJ65" s="1"/>
      <c r="BK65" s="1"/>
      <c r="BL65" s="1"/>
      <c r="BM65" s="1"/>
      <c r="BN65" s="1"/>
      <c r="BO65" s="1"/>
      <c r="BP65" s="1"/>
      <c r="BQ65" s="1"/>
      <c r="BR65" s="1"/>
      <c r="BS65" s="1"/>
      <c r="BT65" s="1"/>
    </row>
    <row r="66" spans="1:72" ht="33.6" customHeight="1" x14ac:dyDescent="0.25">
      <c r="A66" s="236" t="s">
        <v>60</v>
      </c>
      <c r="B66" s="237"/>
      <c r="C66" s="237"/>
      <c r="D66" s="237"/>
      <c r="E66" s="31" t="s">
        <v>61</v>
      </c>
      <c r="F66" s="146">
        <v>0</v>
      </c>
      <c r="G66" s="127">
        <v>2.5</v>
      </c>
      <c r="H66" s="127">
        <f t="shared" si="6"/>
        <v>0</v>
      </c>
      <c r="I66" s="30"/>
      <c r="J66" s="31"/>
      <c r="K66" s="31"/>
      <c r="L66" s="31"/>
      <c r="M66" s="31">
        <f t="shared" si="7"/>
        <v>0</v>
      </c>
      <c r="N66" s="16"/>
      <c r="O66" s="16"/>
      <c r="P66" s="16"/>
      <c r="Q66" s="16"/>
      <c r="R66" s="16"/>
      <c r="S66" s="16"/>
      <c r="T66" s="16"/>
      <c r="U66" s="16"/>
      <c r="V66" s="16"/>
      <c r="W66" s="16"/>
      <c r="X66" s="16"/>
      <c r="Y66" s="1"/>
      <c r="Z66" s="120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  <c r="AX66" s="1"/>
      <c r="AY66" s="1"/>
      <c r="AZ66" s="1"/>
      <c r="BA66" s="1"/>
      <c r="BB66" s="1"/>
      <c r="BC66" s="1"/>
      <c r="BD66" s="1"/>
      <c r="BE66" s="1"/>
      <c r="BF66" s="1"/>
      <c r="BG66" s="1"/>
      <c r="BH66" s="1"/>
      <c r="BI66" s="1"/>
      <c r="BJ66" s="1"/>
      <c r="BK66" s="1"/>
      <c r="BL66" s="1"/>
      <c r="BM66" s="1"/>
      <c r="BN66" s="1"/>
      <c r="BO66" s="1"/>
      <c r="BP66" s="1"/>
      <c r="BQ66" s="1"/>
      <c r="BR66" s="1"/>
      <c r="BS66" s="1"/>
      <c r="BT66" s="1"/>
    </row>
    <row r="67" spans="1:72" ht="15.75" x14ac:dyDescent="0.25">
      <c r="A67" s="16"/>
      <c r="B67" s="16"/>
      <c r="C67" s="16"/>
      <c r="D67" s="16"/>
      <c r="E67" s="16"/>
      <c r="F67" s="16"/>
      <c r="G67" s="34" t="s">
        <v>62</v>
      </c>
      <c r="H67" s="34">
        <f>SUM(H60:H66)</f>
        <v>0</v>
      </c>
      <c r="I67" s="22"/>
      <c r="J67" s="16"/>
      <c r="K67" s="16"/>
      <c r="L67" s="16"/>
      <c r="M67" s="139"/>
      <c r="N67" s="16"/>
      <c r="O67" s="16"/>
      <c r="P67" s="16"/>
      <c r="Q67" s="16"/>
      <c r="R67" s="16"/>
      <c r="S67" s="16"/>
      <c r="T67" s="16"/>
      <c r="U67" s="16"/>
      <c r="V67" s="16"/>
      <c r="W67" s="16"/>
      <c r="X67" s="16"/>
      <c r="Y67" s="1"/>
      <c r="Z67" s="120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  <c r="AX67" s="1"/>
      <c r="AY67" s="1"/>
      <c r="AZ67" s="1"/>
      <c r="BA67" s="1"/>
      <c r="BB67" s="1"/>
      <c r="BC67" s="1"/>
      <c r="BD67" s="1"/>
      <c r="BE67" s="1"/>
      <c r="BF67" s="1"/>
      <c r="BG67" s="1"/>
      <c r="BH67" s="1"/>
      <c r="BI67" s="1"/>
      <c r="BJ67" s="1"/>
      <c r="BK67" s="1"/>
      <c r="BL67" s="1"/>
      <c r="BM67" s="1"/>
      <c r="BN67" s="1"/>
      <c r="BO67" s="1"/>
      <c r="BP67" s="1"/>
      <c r="BQ67" s="1"/>
      <c r="BR67" s="1"/>
      <c r="BS67" s="1"/>
      <c r="BT67" s="1"/>
    </row>
    <row r="68" spans="1:72" ht="15.75" x14ac:dyDescent="0.25">
      <c r="A68" s="243" t="s">
        <v>63</v>
      </c>
      <c r="B68" s="243"/>
      <c r="C68" s="16"/>
      <c r="D68" s="16"/>
      <c r="E68" s="16"/>
      <c r="F68" s="16"/>
      <c r="G68" s="16"/>
      <c r="H68" s="16"/>
      <c r="I68" s="16"/>
      <c r="J68" s="16"/>
      <c r="K68" s="16"/>
      <c r="L68" s="16"/>
      <c r="M68" s="139"/>
      <c r="N68" s="16"/>
      <c r="O68" s="16"/>
      <c r="P68" s="16"/>
      <c r="Q68" s="16"/>
      <c r="R68" s="16"/>
      <c r="S68" s="16"/>
      <c r="T68" s="16"/>
      <c r="U68" s="16"/>
      <c r="V68" s="16"/>
      <c r="W68" s="16"/>
      <c r="X68" s="16"/>
      <c r="Y68" s="1"/>
      <c r="Z68" s="120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  <c r="AX68" s="1"/>
      <c r="AY68" s="1"/>
      <c r="AZ68" s="1"/>
      <c r="BA68" s="1"/>
      <c r="BB68" s="1"/>
      <c r="BC68" s="1"/>
      <c r="BD68" s="1"/>
      <c r="BE68" s="1"/>
      <c r="BF68" s="1"/>
      <c r="BG68" s="1"/>
      <c r="BH68" s="1"/>
      <c r="BI68" s="1"/>
      <c r="BJ68" s="1"/>
      <c r="BK68" s="1"/>
      <c r="BL68" s="1"/>
      <c r="BM68" s="1"/>
      <c r="BN68" s="1"/>
      <c r="BO68" s="1"/>
      <c r="BP68" s="1"/>
      <c r="BQ68" s="1"/>
      <c r="BR68" s="1"/>
      <c r="BS68" s="1"/>
      <c r="BT68" s="1"/>
    </row>
    <row r="69" spans="1:72" ht="15.75" x14ac:dyDescent="0.25">
      <c r="A69" s="240" t="s">
        <v>7</v>
      </c>
      <c r="B69" s="240"/>
      <c r="C69" s="240"/>
      <c r="D69" s="240"/>
      <c r="E69" s="28" t="s">
        <v>8</v>
      </c>
      <c r="F69" s="118" t="s">
        <v>9</v>
      </c>
      <c r="G69" s="118" t="s">
        <v>10</v>
      </c>
      <c r="H69" s="118" t="s">
        <v>0</v>
      </c>
      <c r="I69" s="38"/>
      <c r="J69" s="35" t="s">
        <v>64</v>
      </c>
      <c r="K69" s="35" t="s">
        <v>65</v>
      </c>
      <c r="L69" s="35" t="s">
        <v>66</v>
      </c>
      <c r="M69" s="35" t="s">
        <v>56</v>
      </c>
      <c r="N69" s="16"/>
      <c r="O69" s="16"/>
      <c r="P69" s="16"/>
      <c r="Q69" s="16"/>
      <c r="R69" s="16"/>
      <c r="S69" s="16"/>
      <c r="T69" s="16"/>
      <c r="U69" s="16"/>
      <c r="V69" s="16"/>
      <c r="W69" s="16"/>
      <c r="X69" s="16"/>
      <c r="Y69" s="1"/>
      <c r="Z69" s="120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  <c r="AX69" s="1"/>
      <c r="AY69" s="1"/>
      <c r="AZ69" s="1"/>
      <c r="BA69" s="1"/>
      <c r="BB69" s="1"/>
      <c r="BC69" s="1"/>
      <c r="BD69" s="1"/>
      <c r="BE69" s="1"/>
      <c r="BF69" s="1"/>
      <c r="BG69" s="1"/>
      <c r="BH69" s="1"/>
      <c r="BI69" s="1"/>
      <c r="BJ69" s="1"/>
      <c r="BK69" s="1"/>
      <c r="BL69" s="1"/>
      <c r="BM69" s="1"/>
      <c r="BN69" s="1"/>
      <c r="BO69" s="1"/>
      <c r="BP69" s="1"/>
      <c r="BQ69" s="1"/>
      <c r="BR69" s="1"/>
      <c r="BS69" s="1"/>
      <c r="BT69" s="1"/>
    </row>
    <row r="70" spans="1:72" ht="21.6" customHeight="1" x14ac:dyDescent="0.25">
      <c r="A70" s="241" t="s">
        <v>67</v>
      </c>
      <c r="B70" s="242"/>
      <c r="C70" s="242"/>
      <c r="D70" s="244"/>
      <c r="E70" s="32" t="s">
        <v>68</v>
      </c>
      <c r="F70" s="147">
        <v>0</v>
      </c>
      <c r="G70" s="30">
        <v>22</v>
      </c>
      <c r="H70" s="33">
        <f>F70*G70</f>
        <v>0</v>
      </c>
      <c r="I70" s="30"/>
      <c r="J70" s="36"/>
      <c r="K70" s="36"/>
      <c r="L70" s="36"/>
      <c r="M70" s="36">
        <f>J70+K70+L70</f>
        <v>0</v>
      </c>
      <c r="N70" s="16"/>
      <c r="O70" s="16"/>
      <c r="P70" s="16"/>
      <c r="Q70" s="16"/>
      <c r="R70" s="16"/>
      <c r="S70" s="16"/>
      <c r="T70" s="16"/>
      <c r="U70" s="16"/>
      <c r="V70" s="16"/>
      <c r="W70" s="16"/>
      <c r="X70" s="16"/>
      <c r="Y70" s="1"/>
      <c r="Z70" s="120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  <c r="AW70" s="1"/>
      <c r="AX70" s="1"/>
      <c r="AY70" s="1"/>
      <c r="AZ70" s="1"/>
      <c r="BA70" s="1"/>
      <c r="BB70" s="1"/>
      <c r="BC70" s="1"/>
      <c r="BD70" s="1"/>
      <c r="BE70" s="1"/>
      <c r="BF70" s="1"/>
      <c r="BG70" s="1"/>
      <c r="BH70" s="1"/>
      <c r="BI70" s="1"/>
      <c r="BJ70" s="1"/>
      <c r="BK70" s="1"/>
      <c r="BL70" s="1"/>
      <c r="BM70" s="1"/>
      <c r="BN70" s="1"/>
      <c r="BO70" s="1"/>
      <c r="BP70" s="1"/>
      <c r="BQ70" s="1"/>
      <c r="BR70" s="1"/>
      <c r="BS70" s="1"/>
      <c r="BT70" s="1"/>
    </row>
    <row r="71" spans="1:72" ht="21.6" customHeight="1" x14ac:dyDescent="0.25">
      <c r="A71" s="241" t="s">
        <v>69</v>
      </c>
      <c r="B71" s="242"/>
      <c r="C71" s="242"/>
      <c r="D71" s="244"/>
      <c r="E71" s="32" t="s">
        <v>68</v>
      </c>
      <c r="F71" s="147">
        <v>150</v>
      </c>
      <c r="G71" s="29">
        <v>24</v>
      </c>
      <c r="H71" s="33">
        <f>F71*G71</f>
        <v>3600</v>
      </c>
      <c r="I71" s="30"/>
      <c r="J71" s="36"/>
      <c r="K71" s="36"/>
      <c r="L71" s="36"/>
      <c r="M71" s="36">
        <f>J71+K71+L71</f>
        <v>0</v>
      </c>
      <c r="N71" s="16"/>
      <c r="O71" s="16"/>
      <c r="P71" s="16"/>
      <c r="Q71" s="16"/>
      <c r="R71" s="16"/>
      <c r="S71" s="16"/>
      <c r="T71" s="16"/>
      <c r="U71" s="16"/>
      <c r="V71" s="16"/>
      <c r="W71" s="16"/>
      <c r="X71" s="16"/>
      <c r="Y71" s="1"/>
      <c r="Z71" s="120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  <c r="AW71" s="1"/>
      <c r="AX71" s="1"/>
      <c r="AY71" s="1"/>
      <c r="AZ71" s="1"/>
      <c r="BA71" s="1"/>
      <c r="BB71" s="1"/>
      <c r="BC71" s="1"/>
      <c r="BD71" s="1"/>
      <c r="BE71" s="1"/>
      <c r="BF71" s="1"/>
      <c r="BG71" s="1"/>
      <c r="BH71" s="1"/>
      <c r="BI71" s="1"/>
      <c r="BJ71" s="1"/>
      <c r="BK71" s="1"/>
      <c r="BL71" s="1"/>
      <c r="BM71" s="1"/>
      <c r="BN71" s="1"/>
      <c r="BO71" s="1"/>
      <c r="BP71" s="1"/>
      <c r="BQ71" s="1"/>
      <c r="BR71" s="1"/>
      <c r="BS71" s="1"/>
      <c r="BT71" s="1"/>
    </row>
    <row r="72" spans="1:72" ht="15.75" x14ac:dyDescent="0.25">
      <c r="A72" s="16"/>
      <c r="B72" s="16"/>
      <c r="C72" s="16"/>
      <c r="D72" s="16"/>
      <c r="E72" s="16"/>
      <c r="F72" s="16"/>
      <c r="G72" s="118" t="s">
        <v>70</v>
      </c>
      <c r="H72" s="34">
        <f>SUM(H70:H71)</f>
        <v>3600</v>
      </c>
      <c r="I72" s="30"/>
      <c r="J72" s="16"/>
      <c r="K72" s="16"/>
      <c r="L72" s="16"/>
      <c r="M72" s="16"/>
      <c r="N72" s="16"/>
      <c r="O72" s="16"/>
      <c r="P72" s="16"/>
      <c r="Q72" s="16"/>
      <c r="R72" s="16"/>
      <c r="S72" s="16"/>
      <c r="T72" s="16"/>
      <c r="U72" s="16"/>
      <c r="V72" s="16"/>
      <c r="W72" s="16"/>
      <c r="X72" s="16"/>
      <c r="Y72" s="1"/>
      <c r="Z72" s="120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  <c r="AW72" s="1"/>
      <c r="AX72" s="1"/>
      <c r="AY72" s="1"/>
      <c r="AZ72" s="1"/>
      <c r="BA72" s="1"/>
      <c r="BB72" s="1"/>
      <c r="BC72" s="1"/>
      <c r="BD72" s="1"/>
      <c r="BE72" s="1"/>
      <c r="BF72" s="1"/>
      <c r="BG72" s="1"/>
      <c r="BH72" s="1"/>
      <c r="BI72" s="1"/>
      <c r="BJ72" s="1"/>
      <c r="BK72" s="1"/>
      <c r="BL72" s="1"/>
      <c r="BM72" s="1"/>
      <c r="BN72" s="1"/>
      <c r="BO72" s="1"/>
      <c r="BP72" s="1"/>
      <c r="BQ72" s="1"/>
      <c r="BR72" s="1"/>
      <c r="BS72" s="1"/>
      <c r="BT72" s="1"/>
    </row>
    <row r="73" spans="1:72" ht="15.75" x14ac:dyDescent="0.25">
      <c r="A73" s="243" t="s">
        <v>71</v>
      </c>
      <c r="B73" s="243"/>
      <c r="C73" s="16"/>
      <c r="D73" s="16"/>
      <c r="E73" s="16"/>
      <c r="F73" s="16"/>
      <c r="G73" s="16"/>
      <c r="H73" s="16"/>
      <c r="I73" s="16"/>
      <c r="J73" s="16"/>
      <c r="K73" s="16"/>
      <c r="L73" s="16"/>
      <c r="M73" s="16"/>
      <c r="N73" s="16"/>
      <c r="O73" s="16"/>
      <c r="P73" s="16"/>
      <c r="Q73" s="16"/>
      <c r="R73" s="16"/>
      <c r="S73" s="16"/>
      <c r="T73" s="16"/>
      <c r="U73" s="16"/>
      <c r="V73" s="16"/>
      <c r="W73" s="16"/>
      <c r="X73" s="16"/>
      <c r="Y73" s="1"/>
      <c r="Z73" s="120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  <c r="AW73" s="1"/>
      <c r="AX73" s="1"/>
      <c r="AY73" s="1"/>
      <c r="AZ73" s="1"/>
      <c r="BA73" s="1"/>
      <c r="BB73" s="1"/>
      <c r="BC73" s="1"/>
      <c r="BD73" s="1"/>
      <c r="BE73" s="1"/>
      <c r="BF73" s="1"/>
      <c r="BG73" s="1"/>
      <c r="BH73" s="1"/>
      <c r="BI73" s="1"/>
      <c r="BJ73" s="1"/>
      <c r="BK73" s="1"/>
      <c r="BL73" s="1"/>
      <c r="BM73" s="1"/>
      <c r="BN73" s="1"/>
      <c r="BO73" s="1"/>
      <c r="BP73" s="1"/>
      <c r="BQ73" s="1"/>
      <c r="BR73" s="1"/>
      <c r="BS73" s="1"/>
      <c r="BT73" s="1"/>
    </row>
    <row r="74" spans="1:72" ht="15.75" x14ac:dyDescent="0.25">
      <c r="A74" s="240" t="s">
        <v>7</v>
      </c>
      <c r="B74" s="240"/>
      <c r="C74" s="240"/>
      <c r="D74" s="240"/>
      <c r="E74" s="28" t="s">
        <v>8</v>
      </c>
      <c r="F74" s="118" t="s">
        <v>9</v>
      </c>
      <c r="G74" s="118" t="s">
        <v>10</v>
      </c>
      <c r="H74" s="118" t="s">
        <v>0</v>
      </c>
      <c r="I74" s="38"/>
      <c r="J74" s="37"/>
      <c r="K74" s="16"/>
      <c r="L74" s="16"/>
      <c r="M74" s="16"/>
      <c r="N74" s="16"/>
      <c r="O74" s="16"/>
      <c r="P74" s="16"/>
      <c r="Q74" s="16"/>
      <c r="R74" s="16"/>
      <c r="S74" s="16"/>
      <c r="T74" s="16"/>
      <c r="U74" s="16"/>
      <c r="V74" s="16"/>
      <c r="W74" s="16"/>
      <c r="X74" s="16"/>
      <c r="Y74" s="1"/>
      <c r="Z74" s="120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  <c r="AV74" s="1"/>
      <c r="AW74" s="1"/>
      <c r="AX74" s="1"/>
      <c r="AY74" s="1"/>
      <c r="AZ74" s="1"/>
      <c r="BA74" s="1"/>
      <c r="BB74" s="1"/>
      <c r="BC74" s="1"/>
      <c r="BD74" s="1"/>
      <c r="BE74" s="1"/>
      <c r="BF74" s="1"/>
      <c r="BG74" s="1"/>
      <c r="BH74" s="1"/>
      <c r="BI74" s="1"/>
      <c r="BJ74" s="1"/>
      <c r="BK74" s="1"/>
      <c r="BL74" s="1"/>
      <c r="BM74" s="1"/>
      <c r="BN74" s="1"/>
      <c r="BO74" s="1"/>
      <c r="BP74" s="1"/>
      <c r="BQ74" s="1"/>
      <c r="BR74" s="1"/>
      <c r="BS74" s="1"/>
      <c r="BT74" s="1"/>
    </row>
    <row r="75" spans="1:72" ht="20.100000000000001" customHeight="1" x14ac:dyDescent="0.25">
      <c r="A75" s="241" t="s">
        <v>180</v>
      </c>
      <c r="B75" s="242"/>
      <c r="C75" s="242"/>
      <c r="D75" s="242"/>
      <c r="E75" s="32" t="s">
        <v>72</v>
      </c>
      <c r="F75" s="128">
        <v>2</v>
      </c>
      <c r="G75" s="29">
        <v>600</v>
      </c>
      <c r="H75" s="33">
        <f>F75*G75</f>
        <v>1200</v>
      </c>
      <c r="I75" s="17"/>
      <c r="J75" s="16"/>
      <c r="K75" s="16"/>
      <c r="L75" s="16"/>
      <c r="M75" s="16"/>
      <c r="N75" s="16"/>
      <c r="O75" s="16"/>
      <c r="P75" s="16"/>
      <c r="Q75" s="16"/>
      <c r="R75" s="16"/>
      <c r="S75" s="16"/>
      <c r="T75" s="16"/>
      <c r="U75" s="16"/>
      <c r="V75" s="16"/>
      <c r="W75" s="16"/>
      <c r="X75" s="16"/>
      <c r="Y75" s="1"/>
      <c r="Z75" s="120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  <c r="AV75" s="1"/>
      <c r="AW75" s="1"/>
      <c r="AX75" s="1"/>
      <c r="AY75" s="1"/>
      <c r="AZ75" s="1"/>
      <c r="BA75" s="1"/>
      <c r="BB75" s="1"/>
      <c r="BC75" s="1"/>
      <c r="BD75" s="1"/>
      <c r="BE75" s="1"/>
      <c r="BF75" s="1"/>
      <c r="BG75" s="1"/>
      <c r="BH75" s="1"/>
      <c r="BI75" s="1"/>
      <c r="BJ75" s="1"/>
      <c r="BK75" s="1"/>
      <c r="BL75" s="1"/>
      <c r="BM75" s="1"/>
      <c r="BN75" s="1"/>
      <c r="BO75" s="1"/>
      <c r="BP75" s="1"/>
      <c r="BQ75" s="1"/>
      <c r="BR75" s="1"/>
      <c r="BS75" s="1"/>
      <c r="BT75" s="1"/>
    </row>
    <row r="76" spans="1:72" ht="20.100000000000001" customHeight="1" x14ac:dyDescent="0.25">
      <c r="A76" s="241" t="s">
        <v>73</v>
      </c>
      <c r="B76" s="242"/>
      <c r="C76" s="242"/>
      <c r="D76" s="242"/>
      <c r="E76" s="32" t="s">
        <v>72</v>
      </c>
      <c r="F76" s="128">
        <v>0</v>
      </c>
      <c r="G76" s="29">
        <v>65</v>
      </c>
      <c r="H76" s="33">
        <f>F76*G76</f>
        <v>0</v>
      </c>
      <c r="I76" s="17"/>
      <c r="J76" s="16"/>
      <c r="K76" s="16"/>
      <c r="L76" s="16"/>
      <c r="M76" s="16"/>
      <c r="N76" s="16"/>
      <c r="O76" s="16"/>
      <c r="P76" s="16"/>
      <c r="Q76" s="16"/>
      <c r="R76" s="16"/>
      <c r="S76" s="16"/>
      <c r="T76" s="16"/>
      <c r="U76" s="16"/>
      <c r="V76" s="16"/>
      <c r="W76" s="16"/>
      <c r="X76" s="16"/>
      <c r="Y76" s="1"/>
      <c r="Z76" s="120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  <c r="AV76" s="1"/>
      <c r="AW76" s="1"/>
      <c r="AX76" s="1"/>
      <c r="AY76" s="1"/>
      <c r="AZ76" s="1"/>
      <c r="BA76" s="1"/>
      <c r="BB76" s="1"/>
      <c r="BC76" s="1"/>
      <c r="BD76" s="1"/>
      <c r="BE76" s="1"/>
      <c r="BF76" s="1"/>
      <c r="BG76" s="1"/>
      <c r="BH76" s="1"/>
      <c r="BI76" s="1"/>
      <c r="BJ76" s="1"/>
      <c r="BK76" s="1"/>
      <c r="BL76" s="1"/>
      <c r="BM76" s="1"/>
      <c r="BN76" s="1"/>
      <c r="BO76" s="1"/>
      <c r="BP76" s="1"/>
      <c r="BQ76" s="1"/>
      <c r="BR76" s="1"/>
      <c r="BS76" s="1"/>
      <c r="BT76" s="1"/>
    </row>
    <row r="77" spans="1:72" ht="15.75" x14ac:dyDescent="0.25">
      <c r="A77" s="16"/>
      <c r="B77" s="16"/>
      <c r="C77" s="16"/>
      <c r="D77" s="16"/>
      <c r="E77" s="16"/>
      <c r="F77" s="16"/>
      <c r="G77" s="118" t="s">
        <v>74</v>
      </c>
      <c r="H77" s="34">
        <f>SUM(H75:H76)</f>
        <v>1200</v>
      </c>
      <c r="I77" s="22"/>
      <c r="J77" s="16"/>
      <c r="K77" s="16"/>
      <c r="L77" s="16"/>
      <c r="M77" s="16"/>
      <c r="N77" s="16"/>
      <c r="O77" s="16"/>
      <c r="P77" s="16"/>
      <c r="Q77" s="16"/>
      <c r="R77" s="16"/>
      <c r="S77" s="16"/>
      <c r="T77" s="16"/>
      <c r="U77" s="16"/>
      <c r="V77" s="16"/>
      <c r="W77" s="16"/>
      <c r="X77" s="16"/>
      <c r="Y77" s="1"/>
      <c r="Z77" s="120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  <c r="AV77" s="1"/>
      <c r="AW77" s="1"/>
      <c r="AX77" s="1"/>
      <c r="AY77" s="1"/>
      <c r="AZ77" s="1"/>
      <c r="BA77" s="1"/>
      <c r="BB77" s="1"/>
      <c r="BC77" s="1"/>
      <c r="BD77" s="1"/>
      <c r="BE77" s="1"/>
      <c r="BF77" s="1"/>
      <c r="BG77" s="1"/>
      <c r="BH77" s="1"/>
      <c r="BI77" s="1"/>
      <c r="BJ77" s="1"/>
      <c r="BK77" s="1"/>
      <c r="BL77" s="1"/>
      <c r="BM77" s="1"/>
      <c r="BN77" s="1"/>
      <c r="BO77" s="1"/>
      <c r="BP77" s="1"/>
      <c r="BQ77" s="1"/>
      <c r="BR77" s="1"/>
      <c r="BS77" s="1"/>
      <c r="BT77" s="1"/>
    </row>
    <row r="78" spans="1:72" ht="15.75" x14ac:dyDescent="0.25">
      <c r="A78" s="3" t="s">
        <v>75</v>
      </c>
      <c r="B78" s="16"/>
      <c r="C78" s="16"/>
      <c r="D78" s="16"/>
      <c r="E78" s="16"/>
      <c r="F78" s="16"/>
      <c r="G78" s="38"/>
      <c r="H78" s="22"/>
      <c r="I78" s="22"/>
      <c r="J78" s="16"/>
      <c r="K78" s="16"/>
      <c r="L78" s="16"/>
      <c r="M78" s="16"/>
      <c r="N78" s="16"/>
      <c r="O78" s="16"/>
      <c r="P78" s="16"/>
      <c r="Q78" s="16"/>
      <c r="R78" s="16"/>
      <c r="S78" s="16"/>
      <c r="T78" s="16"/>
      <c r="U78" s="16"/>
      <c r="V78" s="16"/>
      <c r="W78" s="16"/>
      <c r="X78" s="16"/>
      <c r="Y78" s="1"/>
      <c r="Z78" s="120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  <c r="AV78" s="1"/>
      <c r="AW78" s="1"/>
      <c r="AX78" s="1"/>
      <c r="AY78" s="1"/>
      <c r="AZ78" s="1"/>
      <c r="BA78" s="1"/>
      <c r="BB78" s="1"/>
      <c r="BC78" s="1"/>
      <c r="BD78" s="1"/>
      <c r="BE78" s="1"/>
      <c r="BF78" s="1"/>
      <c r="BG78" s="1"/>
      <c r="BH78" s="1"/>
      <c r="BI78" s="1"/>
      <c r="BJ78" s="1"/>
      <c r="BK78" s="1"/>
      <c r="BL78" s="1"/>
      <c r="BM78" s="1"/>
      <c r="BN78" s="1"/>
      <c r="BO78" s="1"/>
      <c r="BP78" s="1"/>
      <c r="BQ78" s="1"/>
      <c r="BR78" s="1"/>
      <c r="BS78" s="1"/>
      <c r="BT78" s="1"/>
    </row>
    <row r="79" spans="1:72" ht="15.75" x14ac:dyDescent="0.25">
      <c r="A79" s="243" t="s">
        <v>76</v>
      </c>
      <c r="B79" s="243"/>
      <c r="C79" s="16"/>
      <c r="D79" s="16"/>
      <c r="E79" s="16"/>
      <c r="F79" s="16"/>
      <c r="G79" s="16"/>
      <c r="H79" s="16"/>
      <c r="I79" s="16"/>
      <c r="J79" s="245"/>
      <c r="K79" s="245"/>
      <c r="L79" s="16"/>
      <c r="M79" s="16"/>
      <c r="N79" s="16"/>
      <c r="O79" s="16"/>
      <c r="P79" s="16"/>
      <c r="Q79" s="16"/>
      <c r="R79" s="16"/>
      <c r="S79" s="16"/>
      <c r="T79" s="16"/>
      <c r="U79" s="16"/>
      <c r="V79" s="16"/>
      <c r="W79" s="16"/>
      <c r="X79" s="16"/>
      <c r="Y79" s="1"/>
      <c r="Z79" s="120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  <c r="AV79" s="1"/>
      <c r="AW79" s="1"/>
      <c r="AX79" s="1"/>
      <c r="AY79" s="1"/>
      <c r="AZ79" s="1"/>
      <c r="BA79" s="1"/>
      <c r="BB79" s="1"/>
      <c r="BC79" s="1"/>
      <c r="BD79" s="1"/>
      <c r="BE79" s="1"/>
      <c r="BF79" s="1"/>
      <c r="BG79" s="1"/>
      <c r="BH79" s="1"/>
      <c r="BI79" s="1"/>
      <c r="BJ79" s="1"/>
      <c r="BK79" s="1"/>
      <c r="BL79" s="1"/>
      <c r="BM79" s="1"/>
      <c r="BN79" s="1"/>
      <c r="BO79" s="1"/>
      <c r="BP79" s="1"/>
      <c r="BQ79" s="1"/>
      <c r="BR79" s="1"/>
      <c r="BS79" s="1"/>
      <c r="BT79" s="1"/>
    </row>
    <row r="80" spans="1:72" ht="15.75" x14ac:dyDescent="0.25">
      <c r="A80" s="240" t="s">
        <v>7</v>
      </c>
      <c r="B80" s="240"/>
      <c r="C80" s="240"/>
      <c r="D80" s="240"/>
      <c r="E80" s="28" t="s">
        <v>8</v>
      </c>
      <c r="F80" s="118" t="s">
        <v>9</v>
      </c>
      <c r="G80" s="118" t="s">
        <v>10</v>
      </c>
      <c r="H80" s="118" t="s">
        <v>0</v>
      </c>
      <c r="I80" s="38"/>
      <c r="J80" s="130"/>
      <c r="K80" s="130"/>
      <c r="L80" s="130"/>
      <c r="M80" s="130"/>
      <c r="N80" s="130"/>
      <c r="O80" s="16"/>
      <c r="P80" s="16"/>
      <c r="Q80" s="16"/>
      <c r="R80" s="16"/>
      <c r="S80" s="16"/>
      <c r="T80" s="16"/>
      <c r="U80" s="16"/>
      <c r="V80" s="16"/>
      <c r="W80" s="16"/>
      <c r="X80" s="16"/>
      <c r="Y80" s="1"/>
      <c r="Z80" s="120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  <c r="AU80" s="1"/>
      <c r="AV80" s="1"/>
      <c r="AW80" s="1"/>
      <c r="AX80" s="1"/>
      <c r="AY80" s="1"/>
      <c r="AZ80" s="1"/>
      <c r="BA80" s="1"/>
      <c r="BB80" s="1"/>
      <c r="BC80" s="1"/>
      <c r="BD80" s="1"/>
      <c r="BE80" s="1"/>
      <c r="BF80" s="1"/>
      <c r="BG80" s="1"/>
      <c r="BH80" s="1"/>
      <c r="BI80" s="1"/>
      <c r="BJ80" s="1"/>
      <c r="BK80" s="1"/>
      <c r="BL80" s="1"/>
      <c r="BM80" s="1"/>
      <c r="BN80" s="1"/>
      <c r="BO80" s="1"/>
      <c r="BP80" s="1"/>
      <c r="BQ80" s="1"/>
      <c r="BR80" s="1"/>
      <c r="BS80" s="1"/>
      <c r="BT80" s="1"/>
    </row>
    <row r="81" spans="1:72" ht="24" customHeight="1" x14ac:dyDescent="0.25">
      <c r="A81" s="242" t="s">
        <v>77</v>
      </c>
      <c r="B81" s="242"/>
      <c r="C81" s="242"/>
      <c r="D81" s="242"/>
      <c r="E81" s="39" t="s">
        <v>11</v>
      </c>
      <c r="F81" s="128">
        <v>2</v>
      </c>
      <c r="G81" s="29">
        <v>450</v>
      </c>
      <c r="H81" s="20">
        <f>F81*G81</f>
        <v>900</v>
      </c>
      <c r="I81" s="131"/>
      <c r="J81" s="130"/>
      <c r="K81" s="130"/>
      <c r="L81" s="130"/>
      <c r="M81" s="130"/>
      <c r="N81" s="130"/>
      <c r="O81" s="16"/>
      <c r="P81" s="16"/>
      <c r="Q81" s="16"/>
      <c r="R81" s="16"/>
      <c r="S81" s="16"/>
      <c r="T81" s="16"/>
      <c r="U81" s="16"/>
      <c r="V81" s="16"/>
      <c r="W81" s="16"/>
      <c r="X81" s="16"/>
      <c r="Y81" s="1"/>
      <c r="Z81" s="120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  <c r="AV81" s="1"/>
      <c r="AW81" s="1"/>
      <c r="AX81" s="1"/>
      <c r="AY81" s="1"/>
      <c r="AZ81" s="1"/>
      <c r="BA81" s="1"/>
      <c r="BB81" s="1"/>
      <c r="BC81" s="1"/>
      <c r="BD81" s="1"/>
      <c r="BE81" s="1"/>
      <c r="BF81" s="1"/>
      <c r="BG81" s="1"/>
      <c r="BH81" s="1"/>
      <c r="BI81" s="1"/>
      <c r="BJ81" s="1"/>
      <c r="BK81" s="1"/>
      <c r="BL81" s="1"/>
      <c r="BM81" s="1"/>
      <c r="BN81" s="1"/>
      <c r="BO81" s="1"/>
      <c r="BP81" s="1"/>
      <c r="BQ81" s="1"/>
      <c r="BR81" s="1"/>
      <c r="BS81" s="1"/>
      <c r="BT81" s="1"/>
    </row>
    <row r="82" spans="1:72" ht="15.75" x14ac:dyDescent="0.25">
      <c r="A82" s="16"/>
      <c r="B82" s="16"/>
      <c r="C82" s="16"/>
      <c r="D82" s="16"/>
      <c r="E82" s="16"/>
      <c r="F82" s="16"/>
      <c r="G82" s="118"/>
      <c r="H82" s="34">
        <f>SUM(H81)</f>
        <v>900</v>
      </c>
      <c r="I82" s="131"/>
      <c r="J82" s="130"/>
      <c r="K82" s="130"/>
      <c r="L82" s="130"/>
      <c r="M82" s="130"/>
      <c r="N82" s="130"/>
      <c r="O82" s="16"/>
      <c r="P82" s="16"/>
      <c r="Q82" s="16"/>
      <c r="R82" s="16"/>
      <c r="S82" s="16"/>
      <c r="T82" s="16"/>
      <c r="U82" s="16"/>
      <c r="V82" s="16"/>
      <c r="W82" s="16"/>
      <c r="X82" s="16"/>
      <c r="Y82" s="1"/>
      <c r="Z82" s="120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  <c r="AV82" s="1"/>
      <c r="AW82" s="1"/>
      <c r="AX82" s="1"/>
      <c r="AY82" s="1"/>
      <c r="AZ82" s="1"/>
      <c r="BA82" s="1"/>
      <c r="BB82" s="1"/>
      <c r="BC82" s="1"/>
      <c r="BD82" s="1"/>
      <c r="BE82" s="1"/>
      <c r="BF82" s="1"/>
      <c r="BG82" s="1"/>
      <c r="BH82" s="1"/>
      <c r="BI82" s="1"/>
      <c r="BJ82" s="1"/>
      <c r="BK82" s="1"/>
      <c r="BL82" s="1"/>
      <c r="BM82" s="1"/>
      <c r="BN82" s="1"/>
      <c r="BO82" s="1"/>
      <c r="BP82" s="1"/>
      <c r="BQ82" s="1"/>
      <c r="BR82" s="1"/>
      <c r="BS82" s="1"/>
      <c r="BT82" s="1"/>
    </row>
    <row r="83" spans="1:72" ht="15.75" x14ac:dyDescent="0.25">
      <c r="A83" s="243" t="s">
        <v>78</v>
      </c>
      <c r="B83" s="243"/>
      <c r="C83" s="16"/>
      <c r="D83" s="16"/>
      <c r="E83" s="16"/>
      <c r="F83" s="16"/>
      <c r="G83" s="16"/>
      <c r="H83" s="1"/>
      <c r="I83" s="132"/>
      <c r="J83" s="130"/>
      <c r="K83" s="130"/>
      <c r="L83" s="130"/>
      <c r="M83" s="130"/>
      <c r="N83" s="130"/>
      <c r="O83" s="16"/>
      <c r="P83" s="16"/>
      <c r="Q83" s="16"/>
      <c r="R83" s="16"/>
      <c r="S83" s="16"/>
      <c r="T83" s="16"/>
      <c r="U83" s="16"/>
      <c r="V83" s="16"/>
      <c r="W83" s="16"/>
      <c r="X83" s="16"/>
      <c r="Y83" s="1"/>
      <c r="Z83" s="120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  <c r="AV83" s="1"/>
      <c r="AW83" s="1"/>
      <c r="AX83" s="1"/>
      <c r="AY83" s="1"/>
      <c r="AZ83" s="1"/>
      <c r="BA83" s="1"/>
      <c r="BB83" s="1"/>
      <c r="BC83" s="1"/>
      <c r="BD83" s="1"/>
      <c r="BE83" s="1"/>
      <c r="BF83" s="1"/>
      <c r="BG83" s="1"/>
      <c r="BH83" s="1"/>
      <c r="BI83" s="1"/>
      <c r="BJ83" s="1"/>
      <c r="BK83" s="1"/>
      <c r="BL83" s="1"/>
      <c r="BM83" s="1"/>
      <c r="BN83" s="1"/>
      <c r="BO83" s="1"/>
      <c r="BP83" s="1"/>
      <c r="BQ83" s="1"/>
      <c r="BR83" s="1"/>
      <c r="BS83" s="1"/>
      <c r="BT83" s="1"/>
    </row>
    <row r="84" spans="1:72" ht="15.75" x14ac:dyDescent="0.25">
      <c r="A84" s="240" t="s">
        <v>7</v>
      </c>
      <c r="B84" s="240"/>
      <c r="C84" s="240"/>
      <c r="D84" s="240"/>
      <c r="E84" s="28" t="s">
        <v>8</v>
      </c>
      <c r="F84" s="118" t="s">
        <v>9</v>
      </c>
      <c r="G84" s="118" t="s">
        <v>10</v>
      </c>
      <c r="H84" s="118" t="s">
        <v>0</v>
      </c>
      <c r="I84" s="38"/>
      <c r="J84" s="16"/>
      <c r="K84" s="16"/>
      <c r="L84" s="133"/>
      <c r="M84" s="16"/>
      <c r="N84" s="16"/>
      <c r="O84" s="16"/>
      <c r="P84" s="16"/>
      <c r="Q84" s="16"/>
      <c r="R84" s="16"/>
      <c r="S84" s="16"/>
      <c r="T84" s="16"/>
      <c r="U84" s="16"/>
      <c r="V84" s="16"/>
      <c r="W84" s="16"/>
      <c r="X84" s="16"/>
      <c r="Y84" s="1"/>
      <c r="Z84" s="120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  <c r="AV84" s="1"/>
      <c r="AW84" s="1"/>
      <c r="AX84" s="1"/>
      <c r="AY84" s="1"/>
      <c r="AZ84" s="1"/>
      <c r="BA84" s="1"/>
      <c r="BB84" s="1"/>
      <c r="BC84" s="1"/>
      <c r="BD84" s="1"/>
      <c r="BE84" s="1"/>
      <c r="BF84" s="1"/>
      <c r="BG84" s="1"/>
      <c r="BH84" s="1"/>
      <c r="BI84" s="1"/>
      <c r="BJ84" s="1"/>
      <c r="BK84" s="1"/>
      <c r="BL84" s="1"/>
      <c r="BM84" s="1"/>
      <c r="BN84" s="1"/>
      <c r="BO84" s="1"/>
      <c r="BP84" s="1"/>
      <c r="BQ84" s="1"/>
      <c r="BR84" s="1"/>
      <c r="BS84" s="1"/>
      <c r="BT84" s="1"/>
    </row>
    <row r="85" spans="1:72" ht="18.600000000000001" customHeight="1" x14ac:dyDescent="0.25">
      <c r="A85" s="241" t="s">
        <v>79</v>
      </c>
      <c r="B85" s="242"/>
      <c r="C85" s="242"/>
      <c r="D85" s="242"/>
      <c r="E85" s="32" t="s">
        <v>80</v>
      </c>
      <c r="F85" s="128">
        <v>0</v>
      </c>
      <c r="G85" s="29">
        <v>900</v>
      </c>
      <c r="H85" s="20">
        <f>F85*G85</f>
        <v>0</v>
      </c>
      <c r="I85" s="22"/>
      <c r="J85" s="16"/>
      <c r="K85" s="16"/>
      <c r="L85" s="16"/>
      <c r="M85" s="16"/>
      <c r="N85" s="16"/>
      <c r="O85" s="16"/>
      <c r="P85" s="16"/>
      <c r="Q85" s="16"/>
      <c r="R85" s="16"/>
      <c r="S85" s="16"/>
      <c r="T85" s="16"/>
      <c r="U85" s="16"/>
      <c r="V85" s="16"/>
      <c r="W85" s="16"/>
      <c r="X85" s="16"/>
      <c r="Y85" s="1"/>
      <c r="Z85" s="120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  <c r="AV85" s="1"/>
      <c r="AW85" s="1"/>
      <c r="AX85" s="1"/>
      <c r="AY85" s="1"/>
      <c r="AZ85" s="1"/>
      <c r="BA85" s="1"/>
      <c r="BB85" s="1"/>
      <c r="BC85" s="1"/>
      <c r="BD85" s="1"/>
      <c r="BE85" s="1"/>
      <c r="BF85" s="1"/>
      <c r="BG85" s="1"/>
      <c r="BH85" s="1"/>
      <c r="BI85" s="1"/>
      <c r="BJ85" s="1"/>
      <c r="BK85" s="1"/>
      <c r="BL85" s="1"/>
      <c r="BM85" s="1"/>
      <c r="BN85" s="1"/>
      <c r="BO85" s="1"/>
      <c r="BP85" s="1"/>
      <c r="BQ85" s="1"/>
      <c r="BR85" s="1"/>
      <c r="BS85" s="1"/>
      <c r="BT85" s="1"/>
    </row>
    <row r="86" spans="1:72" ht="15.75" x14ac:dyDescent="0.25">
      <c r="A86" s="16"/>
      <c r="B86" s="16"/>
      <c r="C86" s="16"/>
      <c r="D86" s="16"/>
      <c r="E86" s="16"/>
      <c r="F86" s="16"/>
      <c r="G86" s="118" t="s">
        <v>81</v>
      </c>
      <c r="H86" s="34">
        <f>SUM(H85)</f>
        <v>0</v>
      </c>
      <c r="I86" s="22"/>
      <c r="J86" s="16"/>
      <c r="K86" s="16"/>
      <c r="L86" s="16"/>
      <c r="M86" s="16"/>
      <c r="N86" s="16"/>
      <c r="O86" s="16"/>
      <c r="P86" s="16"/>
      <c r="Q86" s="16"/>
      <c r="R86" s="16"/>
      <c r="S86" s="16"/>
      <c r="T86" s="16"/>
      <c r="U86" s="16"/>
      <c r="V86" s="16"/>
      <c r="W86" s="16"/>
      <c r="X86" s="16"/>
      <c r="Y86" s="1"/>
      <c r="Z86" s="120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/>
      <c r="AV86" s="1"/>
      <c r="AW86" s="1"/>
      <c r="AX86" s="1"/>
      <c r="AY86" s="1"/>
      <c r="AZ86" s="1"/>
      <c r="BA86" s="1"/>
      <c r="BB86" s="1"/>
      <c r="BC86" s="1"/>
      <c r="BD86" s="1"/>
      <c r="BE86" s="1"/>
      <c r="BF86" s="1"/>
      <c r="BG86" s="1"/>
      <c r="BH86" s="1"/>
      <c r="BI86" s="1"/>
      <c r="BJ86" s="1"/>
      <c r="BK86" s="1"/>
      <c r="BL86" s="1"/>
      <c r="BM86" s="1"/>
      <c r="BN86" s="1"/>
      <c r="BO86" s="1"/>
      <c r="BP86" s="1"/>
      <c r="BQ86" s="1"/>
      <c r="BR86" s="1"/>
      <c r="BS86" s="1"/>
      <c r="BT86" s="1"/>
    </row>
    <row r="87" spans="1:72" ht="15.75" x14ac:dyDescent="0.25">
      <c r="A87" s="16"/>
      <c r="B87" s="16"/>
      <c r="C87" s="16"/>
      <c r="D87" s="16"/>
      <c r="E87" s="16"/>
      <c r="F87" s="16"/>
      <c r="G87" s="118" t="s">
        <v>82</v>
      </c>
      <c r="H87" s="34">
        <f>H67+H72+H77+H82+H86+H56+H55+H27</f>
        <v>5700</v>
      </c>
      <c r="I87" s="134"/>
      <c r="J87" s="62"/>
      <c r="K87" s="16"/>
      <c r="L87" s="16"/>
      <c r="M87" s="16"/>
      <c r="N87" s="16"/>
      <c r="O87" s="16"/>
      <c r="P87" s="16"/>
      <c r="Q87" s="16"/>
      <c r="R87" s="16"/>
      <c r="S87" s="16"/>
      <c r="T87" s="16"/>
      <c r="U87" s="16"/>
      <c r="V87" s="16"/>
      <c r="W87" s="16"/>
      <c r="X87" s="16"/>
      <c r="Y87" s="1"/>
      <c r="Z87" s="120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  <c r="AV87" s="1"/>
      <c r="AW87" s="1"/>
      <c r="AX87" s="1"/>
      <c r="AY87" s="1"/>
      <c r="AZ87" s="1"/>
      <c r="BA87" s="1"/>
      <c r="BB87" s="1"/>
      <c r="BC87" s="1"/>
      <c r="BD87" s="1"/>
      <c r="BE87" s="1"/>
      <c r="BF87" s="1"/>
      <c r="BG87" s="1"/>
      <c r="BH87" s="1"/>
      <c r="BI87" s="1"/>
      <c r="BJ87" s="1"/>
      <c r="BK87" s="1"/>
      <c r="BL87" s="1"/>
      <c r="BM87" s="1"/>
      <c r="BN87" s="1"/>
      <c r="BO87" s="1"/>
      <c r="BP87" s="1"/>
      <c r="BQ87" s="1"/>
      <c r="BR87" s="1"/>
      <c r="BS87" s="1"/>
      <c r="BT87" s="1"/>
    </row>
    <row r="88" spans="1:72" ht="15.75" x14ac:dyDescent="0.25">
      <c r="A88" s="3" t="s">
        <v>83</v>
      </c>
      <c r="B88" s="7"/>
      <c r="C88" s="7"/>
      <c r="D88" s="16"/>
      <c r="E88" s="16"/>
      <c r="F88" s="16"/>
      <c r="G88" s="1"/>
      <c r="H88" s="42"/>
      <c r="I88" s="9"/>
      <c r="J88" s="62"/>
      <c r="K88" s="7"/>
      <c r="L88" s="16"/>
      <c r="M88" s="16"/>
      <c r="N88" s="16"/>
      <c r="O88" s="16"/>
      <c r="P88" s="16"/>
      <c r="Q88" s="16"/>
      <c r="R88" s="16"/>
      <c r="S88" s="16"/>
      <c r="T88" s="16"/>
      <c r="U88" s="16"/>
      <c r="V88" s="16"/>
      <c r="W88" s="16"/>
      <c r="X88" s="16"/>
      <c r="Y88" s="1"/>
      <c r="Z88" s="120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"/>
      <c r="AV88" s="1"/>
      <c r="AW88" s="1"/>
      <c r="AX88" s="1"/>
      <c r="AY88" s="1"/>
      <c r="AZ88" s="1"/>
      <c r="BA88" s="1"/>
      <c r="BB88" s="1"/>
      <c r="BC88" s="1"/>
      <c r="BD88" s="1"/>
      <c r="BE88" s="1"/>
      <c r="BF88" s="1"/>
      <c r="BG88" s="1"/>
      <c r="BH88" s="1"/>
      <c r="BI88" s="1"/>
      <c r="BJ88" s="1"/>
      <c r="BK88" s="1"/>
      <c r="BL88" s="1"/>
      <c r="BM88" s="1"/>
      <c r="BN88" s="1"/>
      <c r="BO88" s="1"/>
      <c r="BP88" s="1"/>
      <c r="BQ88" s="1"/>
      <c r="BR88" s="1"/>
      <c r="BS88" s="1"/>
      <c r="BT88" s="1"/>
    </row>
    <row r="89" spans="1:72" ht="15.75" x14ac:dyDescent="0.25">
      <c r="A89" s="246" t="s">
        <v>7</v>
      </c>
      <c r="B89" s="246"/>
      <c r="C89" s="246"/>
      <c r="D89" s="246"/>
      <c r="E89" s="43" t="s">
        <v>8</v>
      </c>
      <c r="F89" s="119" t="s">
        <v>9</v>
      </c>
      <c r="G89" s="119" t="s">
        <v>10</v>
      </c>
      <c r="H89" s="44" t="s">
        <v>0</v>
      </c>
      <c r="I89" s="45" t="s">
        <v>84</v>
      </c>
      <c r="J89" s="46"/>
      <c r="K89" s="46" t="s">
        <v>85</v>
      </c>
      <c r="L89" s="47"/>
      <c r="M89" s="16"/>
      <c r="N89" s="16"/>
      <c r="O89" s="16"/>
      <c r="P89" s="16"/>
      <c r="Q89" s="16"/>
      <c r="R89" s="16"/>
      <c r="S89" s="16"/>
      <c r="T89" s="16"/>
      <c r="U89" s="16"/>
      <c r="V89" s="16"/>
      <c r="W89" s="16"/>
      <c r="X89" s="16"/>
      <c r="Y89" s="1"/>
      <c r="Z89" s="120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  <c r="AV89" s="1"/>
      <c r="AW89" s="1"/>
      <c r="AX89" s="1"/>
      <c r="AY89" s="1"/>
      <c r="AZ89" s="1"/>
      <c r="BA89" s="1"/>
      <c r="BB89" s="1"/>
      <c r="BC89" s="1"/>
      <c r="BD89" s="1"/>
      <c r="BE89" s="1"/>
      <c r="BF89" s="1"/>
      <c r="BG89" s="1"/>
      <c r="BH89" s="1"/>
      <c r="BI89" s="1"/>
      <c r="BJ89" s="1"/>
      <c r="BK89" s="1"/>
      <c r="BL89" s="1"/>
      <c r="BM89" s="1"/>
      <c r="BN89" s="1"/>
      <c r="BO89" s="1"/>
      <c r="BP89" s="1"/>
      <c r="BQ89" s="1"/>
      <c r="BR89" s="1"/>
      <c r="BS89" s="1"/>
      <c r="BT89" s="1"/>
    </row>
    <row r="90" spans="1:72" ht="15.75" x14ac:dyDescent="0.25">
      <c r="A90" s="241" t="s">
        <v>86</v>
      </c>
      <c r="B90" s="242"/>
      <c r="C90" s="242"/>
      <c r="D90" s="242"/>
      <c r="E90" s="123" t="s">
        <v>87</v>
      </c>
      <c r="F90" s="128"/>
      <c r="G90" s="36">
        <v>2200</v>
      </c>
      <c r="H90" s="48">
        <f>(F90*G90)</f>
        <v>0</v>
      </c>
      <c r="I90" s="49"/>
      <c r="J90" s="50"/>
      <c r="K90" s="51"/>
      <c r="L90" s="62"/>
      <c r="M90" s="16"/>
      <c r="N90" s="16"/>
      <c r="O90" s="16"/>
      <c r="P90" s="16"/>
      <c r="Q90" s="16"/>
      <c r="R90" s="16"/>
      <c r="S90" s="16"/>
      <c r="T90" s="16"/>
      <c r="U90" s="16"/>
      <c r="V90" s="16"/>
      <c r="W90" s="16"/>
      <c r="X90" s="16"/>
      <c r="Y90" s="1"/>
      <c r="Z90" s="120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  <c r="AV90" s="1"/>
      <c r="AW90" s="1"/>
      <c r="AX90" s="1"/>
      <c r="AY90" s="1"/>
      <c r="AZ90" s="1"/>
      <c r="BA90" s="1"/>
      <c r="BB90" s="1"/>
      <c r="BC90" s="1"/>
      <c r="BD90" s="1"/>
      <c r="BE90" s="1"/>
      <c r="BF90" s="1"/>
      <c r="BG90" s="1"/>
      <c r="BH90" s="1"/>
      <c r="BI90" s="1"/>
      <c r="BJ90" s="1"/>
      <c r="BK90" s="1"/>
      <c r="BL90" s="1"/>
      <c r="BM90" s="1"/>
      <c r="BN90" s="1"/>
      <c r="BO90" s="1"/>
      <c r="BP90" s="1"/>
      <c r="BQ90" s="1"/>
      <c r="BR90" s="1"/>
      <c r="BS90" s="1"/>
      <c r="BT90" s="1"/>
    </row>
    <row r="91" spans="1:72" ht="15.75" x14ac:dyDescent="0.25">
      <c r="A91" s="241" t="s">
        <v>88</v>
      </c>
      <c r="B91" s="242"/>
      <c r="C91" s="242"/>
      <c r="D91" s="242"/>
      <c r="E91" s="123" t="s">
        <v>87</v>
      </c>
      <c r="F91" s="128"/>
      <c r="G91" s="36">
        <v>2000</v>
      </c>
      <c r="H91" s="48">
        <f t="shared" ref="H91:H108" si="8">(F91*G91)</f>
        <v>0</v>
      </c>
      <c r="I91" s="49"/>
      <c r="J91" s="50"/>
      <c r="K91" s="51"/>
      <c r="L91" s="62"/>
      <c r="M91" s="16"/>
      <c r="N91" s="16"/>
      <c r="O91" s="16"/>
      <c r="P91" s="16"/>
      <c r="Q91" s="16"/>
      <c r="R91" s="16"/>
      <c r="S91" s="16"/>
      <c r="T91" s="16"/>
      <c r="U91" s="16"/>
      <c r="V91" s="16"/>
      <c r="W91" s="16"/>
      <c r="X91" s="16"/>
      <c r="Y91" s="1"/>
      <c r="Z91" s="120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  <c r="AV91" s="1"/>
      <c r="AW91" s="1"/>
      <c r="AX91" s="1"/>
      <c r="AY91" s="1"/>
      <c r="AZ91" s="1"/>
      <c r="BA91" s="1"/>
      <c r="BB91" s="1"/>
      <c r="BC91" s="1"/>
      <c r="BD91" s="1"/>
      <c r="BE91" s="1"/>
      <c r="BF91" s="1"/>
      <c r="BG91" s="1"/>
      <c r="BH91" s="1"/>
      <c r="BI91" s="1"/>
      <c r="BJ91" s="1"/>
      <c r="BK91" s="1"/>
      <c r="BL91" s="1"/>
      <c r="BM91" s="1"/>
      <c r="BN91" s="1"/>
      <c r="BO91" s="1"/>
      <c r="BP91" s="1"/>
      <c r="BQ91" s="1"/>
      <c r="BR91" s="1"/>
      <c r="BS91" s="1"/>
      <c r="BT91" s="1"/>
    </row>
    <row r="92" spans="1:72" ht="15.75" x14ac:dyDescent="0.25">
      <c r="A92" s="241" t="s">
        <v>89</v>
      </c>
      <c r="B92" s="242"/>
      <c r="C92" s="242"/>
      <c r="D92" s="242"/>
      <c r="E92" s="123" t="s">
        <v>87</v>
      </c>
      <c r="F92" s="128"/>
      <c r="G92" s="36">
        <v>7000</v>
      </c>
      <c r="H92" s="48">
        <f t="shared" si="8"/>
        <v>0</v>
      </c>
      <c r="I92" s="49"/>
      <c r="J92" s="50"/>
      <c r="K92" s="51"/>
      <c r="L92" s="62"/>
      <c r="M92" s="16"/>
      <c r="N92" s="16"/>
      <c r="O92" s="16"/>
      <c r="P92" s="16"/>
      <c r="Q92" s="16"/>
      <c r="R92" s="16"/>
      <c r="S92" s="16"/>
      <c r="T92" s="16"/>
      <c r="U92" s="16"/>
      <c r="V92" s="16"/>
      <c r="W92" s="16"/>
      <c r="X92" s="16"/>
      <c r="Y92" s="1"/>
      <c r="Z92" s="120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  <c r="AU92" s="1"/>
      <c r="AV92" s="1"/>
      <c r="AW92" s="1"/>
      <c r="AX92" s="1"/>
      <c r="AY92" s="1"/>
      <c r="AZ92" s="1"/>
      <c r="BA92" s="1"/>
      <c r="BB92" s="1"/>
      <c r="BC92" s="1"/>
      <c r="BD92" s="1"/>
      <c r="BE92" s="1"/>
      <c r="BF92" s="1"/>
      <c r="BG92" s="1"/>
      <c r="BH92" s="1"/>
      <c r="BI92" s="1"/>
      <c r="BJ92" s="1"/>
      <c r="BK92" s="1"/>
      <c r="BL92" s="1"/>
      <c r="BM92" s="1"/>
      <c r="BN92" s="1"/>
      <c r="BO92" s="1"/>
      <c r="BP92" s="1"/>
      <c r="BQ92" s="1"/>
      <c r="BR92" s="1"/>
      <c r="BS92" s="1"/>
      <c r="BT92" s="1"/>
    </row>
    <row r="93" spans="1:72" ht="15.75" x14ac:dyDescent="0.25">
      <c r="A93" s="241" t="s">
        <v>90</v>
      </c>
      <c r="B93" s="242"/>
      <c r="C93" s="242"/>
      <c r="D93" s="242"/>
      <c r="E93" s="123" t="s">
        <v>87</v>
      </c>
      <c r="F93" s="128"/>
      <c r="G93" s="36">
        <v>15200</v>
      </c>
      <c r="H93" s="48">
        <f t="shared" si="8"/>
        <v>0</v>
      </c>
      <c r="I93" s="49"/>
      <c r="J93" s="50"/>
      <c r="K93" s="51"/>
      <c r="L93" s="62"/>
      <c r="M93" s="16"/>
      <c r="N93" s="16"/>
      <c r="O93" s="16"/>
      <c r="P93" s="16"/>
      <c r="Q93" s="16"/>
      <c r="R93" s="16"/>
      <c r="S93" s="16"/>
      <c r="T93" s="16"/>
      <c r="U93" s="16"/>
      <c r="V93" s="16"/>
      <c r="W93" s="16"/>
      <c r="X93" s="16"/>
      <c r="Y93" s="1"/>
      <c r="Z93" s="120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/>
      <c r="AV93" s="1"/>
      <c r="AW93" s="1"/>
      <c r="AX93" s="1"/>
      <c r="AY93" s="1"/>
      <c r="AZ93" s="1"/>
      <c r="BA93" s="1"/>
      <c r="BB93" s="1"/>
      <c r="BC93" s="1"/>
      <c r="BD93" s="1"/>
      <c r="BE93" s="1"/>
      <c r="BF93" s="1"/>
      <c r="BG93" s="1"/>
      <c r="BH93" s="1"/>
      <c r="BI93" s="1"/>
      <c r="BJ93" s="1"/>
      <c r="BK93" s="1"/>
      <c r="BL93" s="1"/>
      <c r="BM93" s="1"/>
      <c r="BN93" s="1"/>
      <c r="BO93" s="1"/>
      <c r="BP93" s="1"/>
      <c r="BQ93" s="1"/>
      <c r="BR93" s="1"/>
      <c r="BS93" s="1"/>
      <c r="BT93" s="1"/>
    </row>
    <row r="94" spans="1:72" ht="15.75" x14ac:dyDescent="0.25">
      <c r="A94" s="247" t="s">
        <v>91</v>
      </c>
      <c r="B94" s="248"/>
      <c r="C94" s="248"/>
      <c r="D94" s="248"/>
      <c r="E94" s="52" t="s">
        <v>87</v>
      </c>
      <c r="F94" s="128"/>
      <c r="G94" s="53">
        <v>2200</v>
      </c>
      <c r="H94" s="54">
        <f t="shared" si="8"/>
        <v>0</v>
      </c>
      <c r="I94" s="55"/>
      <c r="J94" s="50"/>
      <c r="K94" s="51"/>
      <c r="L94" s="62"/>
      <c r="M94" s="16"/>
      <c r="N94" s="16"/>
      <c r="O94" s="16"/>
      <c r="P94" s="16"/>
      <c r="Q94" s="16"/>
      <c r="R94" s="16"/>
      <c r="S94" s="16"/>
      <c r="T94" s="16"/>
      <c r="U94" s="16"/>
      <c r="V94" s="16"/>
      <c r="W94" s="16"/>
      <c r="X94" s="16"/>
      <c r="Y94" s="1"/>
      <c r="Z94" s="120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/>
      <c r="AV94" s="1"/>
      <c r="AW94" s="1"/>
      <c r="AX94" s="1"/>
      <c r="AY94" s="1"/>
      <c r="AZ94" s="1"/>
      <c r="BA94" s="1"/>
      <c r="BB94" s="1"/>
      <c r="BC94" s="1"/>
      <c r="BD94" s="1"/>
      <c r="BE94" s="1"/>
      <c r="BF94" s="1"/>
      <c r="BG94" s="1"/>
      <c r="BH94" s="1"/>
      <c r="BI94" s="1"/>
      <c r="BJ94" s="1"/>
      <c r="BK94" s="1"/>
      <c r="BL94" s="1"/>
      <c r="BM94" s="1"/>
      <c r="BN94" s="1"/>
      <c r="BO94" s="1"/>
      <c r="BP94" s="1"/>
      <c r="BQ94" s="1"/>
      <c r="BR94" s="1"/>
      <c r="BS94" s="1"/>
      <c r="BT94" s="1"/>
    </row>
    <row r="95" spans="1:72" ht="15.75" x14ac:dyDescent="0.25">
      <c r="A95" s="241" t="s">
        <v>92</v>
      </c>
      <c r="B95" s="242"/>
      <c r="C95" s="242"/>
      <c r="D95" s="242"/>
      <c r="E95" s="123" t="s">
        <v>87</v>
      </c>
      <c r="F95" s="128"/>
      <c r="G95" s="36">
        <v>2000</v>
      </c>
      <c r="H95" s="48">
        <f t="shared" si="8"/>
        <v>0</v>
      </c>
      <c r="I95" s="49"/>
      <c r="J95" s="50"/>
      <c r="K95" s="51"/>
      <c r="L95" s="62"/>
      <c r="M95" s="16"/>
      <c r="N95" s="16"/>
      <c r="O95" s="16"/>
      <c r="P95" s="16"/>
      <c r="Q95" s="16"/>
      <c r="R95" s="16"/>
      <c r="S95" s="16"/>
      <c r="T95" s="16"/>
      <c r="U95" s="16"/>
      <c r="V95" s="16"/>
      <c r="W95" s="16"/>
      <c r="X95" s="16"/>
      <c r="Y95" s="1"/>
      <c r="Z95" s="120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  <c r="AV95" s="1"/>
      <c r="AW95" s="1"/>
      <c r="AX95" s="1"/>
      <c r="AY95" s="1"/>
      <c r="AZ95" s="1"/>
      <c r="BA95" s="1"/>
      <c r="BB95" s="1"/>
      <c r="BC95" s="1"/>
      <c r="BD95" s="1"/>
      <c r="BE95" s="1"/>
      <c r="BF95" s="1"/>
      <c r="BG95" s="1"/>
      <c r="BH95" s="1"/>
      <c r="BI95" s="1"/>
      <c r="BJ95" s="1"/>
      <c r="BK95" s="1"/>
      <c r="BL95" s="1"/>
      <c r="BM95" s="1"/>
      <c r="BN95" s="1"/>
      <c r="BO95" s="1"/>
      <c r="BP95" s="1"/>
      <c r="BQ95" s="1"/>
      <c r="BR95" s="1"/>
      <c r="BS95" s="1"/>
      <c r="BT95" s="1"/>
    </row>
    <row r="96" spans="1:72" ht="15.75" x14ac:dyDescent="0.25">
      <c r="A96" s="247" t="s">
        <v>93</v>
      </c>
      <c r="B96" s="248"/>
      <c r="C96" s="248"/>
      <c r="D96" s="248"/>
      <c r="E96" s="52" t="s">
        <v>87</v>
      </c>
      <c r="F96" s="128"/>
      <c r="G96" s="53">
        <v>2500</v>
      </c>
      <c r="H96" s="54">
        <f t="shared" si="8"/>
        <v>0</v>
      </c>
      <c r="I96" s="55"/>
      <c r="J96" s="50"/>
      <c r="K96" s="51"/>
      <c r="L96" s="62"/>
      <c r="M96" s="16"/>
      <c r="N96" s="16"/>
      <c r="O96" s="16"/>
      <c r="P96" s="16"/>
      <c r="Q96" s="16"/>
      <c r="R96" s="16"/>
      <c r="S96" s="16"/>
      <c r="T96" s="16"/>
      <c r="U96" s="16"/>
      <c r="V96" s="16"/>
      <c r="W96" s="16"/>
      <c r="X96" s="16"/>
      <c r="Y96" s="1"/>
      <c r="Z96" s="120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  <c r="AV96" s="1"/>
      <c r="AW96" s="1"/>
      <c r="AX96" s="1"/>
      <c r="AY96" s="1"/>
      <c r="AZ96" s="1"/>
      <c r="BA96" s="1"/>
      <c r="BB96" s="1"/>
      <c r="BC96" s="1"/>
      <c r="BD96" s="1"/>
      <c r="BE96" s="1"/>
      <c r="BF96" s="1"/>
      <c r="BG96" s="1"/>
      <c r="BH96" s="1"/>
      <c r="BI96" s="1"/>
      <c r="BJ96" s="1"/>
      <c r="BK96" s="1"/>
      <c r="BL96" s="1"/>
      <c r="BM96" s="1"/>
      <c r="BN96" s="1"/>
      <c r="BO96" s="1"/>
      <c r="BP96" s="1"/>
      <c r="BQ96" s="1"/>
      <c r="BR96" s="1"/>
      <c r="BS96" s="1"/>
      <c r="BT96" s="1"/>
    </row>
    <row r="97" spans="1:72" ht="15.75" x14ac:dyDescent="0.25">
      <c r="A97" s="241" t="s">
        <v>94</v>
      </c>
      <c r="B97" s="242"/>
      <c r="C97" s="242"/>
      <c r="D97" s="242"/>
      <c r="E97" s="123" t="s">
        <v>87</v>
      </c>
      <c r="F97" s="128"/>
      <c r="G97" s="36">
        <v>1600</v>
      </c>
      <c r="H97" s="48">
        <f t="shared" si="8"/>
        <v>0</v>
      </c>
      <c r="I97" s="49"/>
      <c r="J97" s="50"/>
      <c r="K97" s="51"/>
      <c r="L97" s="62"/>
      <c r="M97" s="16"/>
      <c r="N97" s="16"/>
      <c r="O97" s="16"/>
      <c r="P97" s="16"/>
      <c r="Q97" s="16"/>
      <c r="R97" s="16"/>
      <c r="S97" s="16"/>
      <c r="T97" s="16"/>
      <c r="U97" s="16"/>
      <c r="V97" s="16"/>
      <c r="W97" s="16"/>
      <c r="X97" s="16"/>
      <c r="Y97" s="1"/>
      <c r="Z97" s="120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1"/>
      <c r="AV97" s="1"/>
      <c r="AW97" s="1"/>
      <c r="AX97" s="1"/>
      <c r="AY97" s="1"/>
      <c r="AZ97" s="1"/>
      <c r="BA97" s="1"/>
      <c r="BB97" s="1"/>
      <c r="BC97" s="1"/>
      <c r="BD97" s="1"/>
      <c r="BE97" s="1"/>
      <c r="BF97" s="1"/>
      <c r="BG97" s="1"/>
      <c r="BH97" s="1"/>
      <c r="BI97" s="1"/>
      <c r="BJ97" s="1"/>
      <c r="BK97" s="1"/>
      <c r="BL97" s="1"/>
      <c r="BM97" s="1"/>
      <c r="BN97" s="1"/>
      <c r="BO97" s="1"/>
      <c r="BP97" s="1"/>
      <c r="BQ97" s="1"/>
      <c r="BR97" s="1"/>
      <c r="BS97" s="1"/>
      <c r="BT97" s="1"/>
    </row>
    <row r="98" spans="1:72" ht="15.75" x14ac:dyDescent="0.25">
      <c r="A98" s="249" t="s">
        <v>95</v>
      </c>
      <c r="B98" s="250"/>
      <c r="C98" s="250"/>
      <c r="D98" s="250"/>
      <c r="E98" s="56" t="s">
        <v>87</v>
      </c>
      <c r="F98" s="128"/>
      <c r="G98" s="57">
        <v>1100</v>
      </c>
      <c r="H98" s="58">
        <f t="shared" si="8"/>
        <v>0</v>
      </c>
      <c r="I98" s="49"/>
      <c r="J98" s="50"/>
      <c r="K98" s="51"/>
      <c r="L98" s="62"/>
      <c r="M98" s="16"/>
      <c r="N98" s="16"/>
      <c r="O98" s="16"/>
      <c r="P98" s="16"/>
      <c r="Q98" s="16"/>
      <c r="R98" s="16"/>
      <c r="S98" s="16"/>
      <c r="T98" s="16"/>
      <c r="U98" s="16"/>
      <c r="V98" s="16"/>
      <c r="W98" s="16"/>
      <c r="X98" s="16"/>
      <c r="Y98" s="1"/>
      <c r="Z98" s="120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  <c r="AV98" s="1"/>
      <c r="AW98" s="1"/>
      <c r="AX98" s="1"/>
      <c r="AY98" s="1"/>
      <c r="AZ98" s="1"/>
      <c r="BA98" s="1"/>
      <c r="BB98" s="1"/>
      <c r="BC98" s="1"/>
      <c r="BD98" s="1"/>
      <c r="BE98" s="1"/>
      <c r="BF98" s="1"/>
      <c r="BG98" s="1"/>
      <c r="BH98" s="1"/>
      <c r="BI98" s="1"/>
      <c r="BJ98" s="1"/>
      <c r="BK98" s="1"/>
      <c r="BL98" s="1"/>
      <c r="BM98" s="1"/>
      <c r="BN98" s="1"/>
      <c r="BO98" s="1"/>
      <c r="BP98" s="1"/>
      <c r="BQ98" s="1"/>
      <c r="BR98" s="1"/>
      <c r="BS98" s="1"/>
      <c r="BT98" s="1"/>
    </row>
    <row r="99" spans="1:72" ht="15.75" x14ac:dyDescent="0.25">
      <c r="A99" s="241" t="s">
        <v>96</v>
      </c>
      <c r="B99" s="242"/>
      <c r="C99" s="242"/>
      <c r="D99" s="242"/>
      <c r="E99" s="123" t="s">
        <v>87</v>
      </c>
      <c r="F99" s="128"/>
      <c r="G99" s="36">
        <v>2700</v>
      </c>
      <c r="H99" s="48">
        <f t="shared" si="8"/>
        <v>0</v>
      </c>
      <c r="I99" s="59"/>
      <c r="J99" s="50"/>
      <c r="K99" s="51"/>
      <c r="L99" s="62"/>
      <c r="M99" s="16"/>
      <c r="N99" s="16"/>
      <c r="O99" s="16"/>
      <c r="P99" s="16"/>
      <c r="Q99" s="16"/>
      <c r="R99" s="16"/>
      <c r="S99" s="16"/>
      <c r="T99" s="16"/>
      <c r="U99" s="16"/>
      <c r="V99" s="16"/>
      <c r="W99" s="16"/>
      <c r="X99" s="16"/>
      <c r="Y99" s="1"/>
      <c r="Z99" s="120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  <c r="AV99" s="1"/>
      <c r="AW99" s="1"/>
      <c r="AX99" s="1"/>
      <c r="AY99" s="1"/>
      <c r="AZ99" s="1"/>
      <c r="BA99" s="1"/>
      <c r="BB99" s="1"/>
      <c r="BC99" s="1"/>
      <c r="BD99" s="1"/>
      <c r="BE99" s="1"/>
      <c r="BF99" s="1"/>
      <c r="BG99" s="1"/>
      <c r="BH99" s="1"/>
      <c r="BI99" s="1"/>
      <c r="BJ99" s="1"/>
      <c r="BK99" s="1"/>
      <c r="BL99" s="1"/>
      <c r="BM99" s="1"/>
      <c r="BN99" s="1"/>
      <c r="BO99" s="1"/>
      <c r="BP99" s="1"/>
      <c r="BQ99" s="1"/>
      <c r="BR99" s="1"/>
      <c r="BS99" s="1"/>
      <c r="BT99" s="1"/>
    </row>
    <row r="100" spans="1:72" ht="15.75" x14ac:dyDescent="0.25">
      <c r="A100" s="251" t="s">
        <v>97</v>
      </c>
      <c r="B100" s="252"/>
      <c r="C100" s="252"/>
      <c r="D100" s="253"/>
      <c r="E100" s="123" t="s">
        <v>87</v>
      </c>
      <c r="F100" s="128"/>
      <c r="G100" s="36">
        <v>2500</v>
      </c>
      <c r="H100" s="48">
        <f t="shared" si="8"/>
        <v>0</v>
      </c>
      <c r="I100" s="59"/>
      <c r="J100" s="50"/>
      <c r="K100" s="51"/>
      <c r="L100" s="62"/>
      <c r="M100" s="16"/>
      <c r="N100" s="16"/>
      <c r="O100" s="16"/>
      <c r="P100" s="16"/>
      <c r="Q100" s="16"/>
      <c r="R100" s="16"/>
      <c r="S100" s="16"/>
      <c r="T100" s="16"/>
      <c r="U100" s="16"/>
      <c r="V100" s="16"/>
      <c r="W100" s="16"/>
      <c r="X100" s="16"/>
      <c r="Y100" s="1"/>
      <c r="Z100" s="120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  <c r="AV100" s="1"/>
      <c r="AW100" s="1"/>
      <c r="AX100" s="1"/>
      <c r="AY100" s="1"/>
      <c r="AZ100" s="1"/>
      <c r="BA100" s="1"/>
      <c r="BB100" s="1"/>
      <c r="BC100" s="1"/>
      <c r="BD100" s="1"/>
      <c r="BE100" s="1"/>
      <c r="BF100" s="1"/>
      <c r="BG100" s="1"/>
      <c r="BH100" s="1"/>
      <c r="BI100" s="1"/>
      <c r="BJ100" s="1"/>
      <c r="BK100" s="1"/>
      <c r="BL100" s="1"/>
      <c r="BM100" s="1"/>
      <c r="BN100" s="1"/>
      <c r="BO100" s="1"/>
      <c r="BP100" s="1"/>
      <c r="BQ100" s="1"/>
      <c r="BR100" s="1"/>
      <c r="BS100" s="1"/>
      <c r="BT100" s="1"/>
    </row>
    <row r="101" spans="1:72" ht="15.75" x14ac:dyDescent="0.25">
      <c r="A101" s="241" t="s">
        <v>98</v>
      </c>
      <c r="B101" s="242"/>
      <c r="C101" s="242"/>
      <c r="D101" s="242"/>
      <c r="E101" s="123" t="s">
        <v>87</v>
      </c>
      <c r="F101" s="128"/>
      <c r="G101" s="36">
        <v>13373</v>
      </c>
      <c r="H101" s="48">
        <f t="shared" si="8"/>
        <v>0</v>
      </c>
      <c r="I101" s="59"/>
      <c r="J101" s="50"/>
      <c r="K101" s="51"/>
      <c r="L101" s="62"/>
      <c r="M101" s="16"/>
      <c r="N101" s="16"/>
      <c r="O101" s="16"/>
      <c r="P101" s="16"/>
      <c r="Q101" s="16"/>
      <c r="R101" s="16"/>
      <c r="S101" s="16"/>
      <c r="T101" s="16"/>
      <c r="U101" s="16"/>
      <c r="V101" s="16"/>
      <c r="W101" s="16"/>
      <c r="X101" s="16"/>
      <c r="Y101" s="1"/>
      <c r="Z101" s="120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/>
      <c r="AV101" s="1"/>
      <c r="AW101" s="1"/>
      <c r="AX101" s="1"/>
      <c r="AY101" s="1"/>
      <c r="AZ101" s="1"/>
      <c r="BA101" s="1"/>
      <c r="BB101" s="1"/>
      <c r="BC101" s="1"/>
      <c r="BD101" s="1"/>
      <c r="BE101" s="1"/>
      <c r="BF101" s="1"/>
      <c r="BG101" s="1"/>
      <c r="BH101" s="1"/>
      <c r="BI101" s="1"/>
      <c r="BJ101" s="1"/>
      <c r="BK101" s="1"/>
      <c r="BL101" s="1"/>
      <c r="BM101" s="1"/>
      <c r="BN101" s="1"/>
      <c r="BO101" s="1"/>
      <c r="BP101" s="1"/>
      <c r="BQ101" s="1"/>
      <c r="BR101" s="1"/>
      <c r="BS101" s="1"/>
      <c r="BT101" s="1"/>
    </row>
    <row r="102" spans="1:72" ht="15.75" x14ac:dyDescent="0.25">
      <c r="A102" s="251" t="s">
        <v>99</v>
      </c>
      <c r="B102" s="252"/>
      <c r="C102" s="252"/>
      <c r="D102" s="253"/>
      <c r="E102" s="123" t="s">
        <v>87</v>
      </c>
      <c r="F102" s="128"/>
      <c r="G102" s="36">
        <v>800</v>
      </c>
      <c r="H102" s="48">
        <f t="shared" si="8"/>
        <v>0</v>
      </c>
      <c r="I102" s="59"/>
      <c r="J102" s="50"/>
      <c r="K102" s="51"/>
      <c r="L102" s="62"/>
      <c r="M102" s="16"/>
      <c r="N102" s="16"/>
      <c r="O102" s="16"/>
      <c r="P102" s="16"/>
      <c r="Q102" s="16"/>
      <c r="R102" s="16"/>
      <c r="S102" s="16"/>
      <c r="T102" s="16"/>
      <c r="U102" s="16"/>
      <c r="V102" s="16"/>
      <c r="W102" s="16"/>
      <c r="X102" s="16"/>
      <c r="Y102" s="1"/>
      <c r="Z102" s="120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/>
      <c r="AV102" s="1"/>
      <c r="AW102" s="1"/>
      <c r="AX102" s="1"/>
      <c r="AY102" s="1"/>
      <c r="AZ102" s="1"/>
      <c r="BA102" s="1"/>
      <c r="BB102" s="1"/>
      <c r="BC102" s="1"/>
      <c r="BD102" s="1"/>
      <c r="BE102" s="1"/>
      <c r="BF102" s="1"/>
      <c r="BG102" s="1"/>
      <c r="BH102" s="1"/>
      <c r="BI102" s="1"/>
      <c r="BJ102" s="1"/>
      <c r="BK102" s="1"/>
      <c r="BL102" s="1"/>
      <c r="BM102" s="1"/>
      <c r="BN102" s="1"/>
      <c r="BO102" s="1"/>
      <c r="BP102" s="1"/>
      <c r="BQ102" s="1"/>
      <c r="BR102" s="1"/>
      <c r="BS102" s="1"/>
      <c r="BT102" s="1"/>
    </row>
    <row r="103" spans="1:72" ht="15.75" x14ac:dyDescent="0.25">
      <c r="A103" s="254" t="s">
        <v>100</v>
      </c>
      <c r="B103" s="255"/>
      <c r="C103" s="255"/>
      <c r="D103" s="255"/>
      <c r="E103" s="4" t="s">
        <v>87</v>
      </c>
      <c r="F103" s="128"/>
      <c r="G103" s="31">
        <v>1900</v>
      </c>
      <c r="H103" s="60">
        <f t="shared" si="8"/>
        <v>0</v>
      </c>
      <c r="I103" s="61"/>
      <c r="J103" s="50"/>
      <c r="K103" s="51"/>
      <c r="L103" s="62"/>
      <c r="M103" s="16"/>
      <c r="N103" s="16"/>
      <c r="O103" s="16"/>
      <c r="P103" s="16"/>
      <c r="Q103" s="16"/>
      <c r="R103" s="16"/>
      <c r="S103" s="16"/>
      <c r="T103" s="16"/>
      <c r="U103" s="16"/>
      <c r="V103" s="16"/>
      <c r="W103" s="16"/>
      <c r="X103" s="16"/>
      <c r="Y103" s="16"/>
      <c r="Z103" s="17"/>
      <c r="AA103" s="16"/>
      <c r="AB103" s="16"/>
      <c r="AC103" s="16"/>
      <c r="AD103" s="16"/>
      <c r="AE103" s="16"/>
      <c r="AF103" s="16"/>
      <c r="AG103" s="16"/>
      <c r="AH103" s="16"/>
      <c r="AI103" s="16"/>
      <c r="AJ103" s="16"/>
      <c r="AK103" s="16"/>
      <c r="AL103" s="16"/>
      <c r="AM103" s="16"/>
      <c r="AN103" s="16"/>
      <c r="AO103" s="16"/>
      <c r="AP103" s="16"/>
      <c r="AQ103" s="16"/>
      <c r="AR103" s="16"/>
      <c r="AS103" s="16"/>
      <c r="AT103" s="16"/>
      <c r="AU103" s="16"/>
      <c r="AV103" s="16"/>
      <c r="AW103" s="16"/>
      <c r="AX103" s="16"/>
      <c r="AY103" s="16"/>
      <c r="AZ103" s="16"/>
      <c r="BA103" s="16"/>
      <c r="BB103" s="16"/>
      <c r="BC103" s="16"/>
      <c r="BD103" s="16"/>
      <c r="BE103" s="16"/>
      <c r="BF103" s="16"/>
      <c r="BG103" s="16"/>
      <c r="BH103" s="16"/>
      <c r="BI103" s="16"/>
      <c r="BJ103" s="16"/>
      <c r="BK103" s="16"/>
      <c r="BL103" s="16"/>
      <c r="BM103" s="16"/>
      <c r="BN103" s="16"/>
      <c r="BO103" s="16"/>
      <c r="BP103" s="16"/>
      <c r="BQ103" s="16"/>
      <c r="BR103" s="16"/>
      <c r="BS103" s="16"/>
      <c r="BT103" s="16"/>
    </row>
    <row r="104" spans="1:72" ht="15.75" x14ac:dyDescent="0.25">
      <c r="A104" s="241" t="s">
        <v>101</v>
      </c>
      <c r="B104" s="242"/>
      <c r="C104" s="242"/>
      <c r="D104" s="242"/>
      <c r="E104" s="123" t="s">
        <v>87</v>
      </c>
      <c r="F104" s="128"/>
      <c r="G104" s="36">
        <v>2000</v>
      </c>
      <c r="H104" s="48">
        <f t="shared" si="8"/>
        <v>0</v>
      </c>
      <c r="I104" s="59"/>
      <c r="J104" s="50"/>
      <c r="K104" s="51"/>
      <c r="L104" s="62"/>
      <c r="M104" s="16"/>
      <c r="N104" s="16"/>
      <c r="O104" s="16"/>
      <c r="P104" s="16"/>
      <c r="Q104" s="16"/>
      <c r="R104" s="16"/>
      <c r="S104" s="16"/>
      <c r="T104" s="16"/>
      <c r="U104" s="16"/>
      <c r="V104" s="16"/>
      <c r="W104" s="16"/>
      <c r="X104" s="16"/>
      <c r="Y104" s="1"/>
      <c r="Z104" s="120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  <c r="AV104" s="1"/>
      <c r="AW104" s="1"/>
      <c r="AX104" s="1"/>
      <c r="AY104" s="1"/>
      <c r="AZ104" s="1"/>
      <c r="BA104" s="1"/>
      <c r="BB104" s="1"/>
      <c r="BC104" s="1"/>
      <c r="BD104" s="1"/>
      <c r="BE104" s="1"/>
      <c r="BF104" s="1"/>
      <c r="BG104" s="1"/>
      <c r="BH104" s="1"/>
      <c r="BI104" s="1"/>
      <c r="BJ104" s="1"/>
      <c r="BK104" s="1"/>
      <c r="BL104" s="1"/>
      <c r="BM104" s="1"/>
      <c r="BN104" s="1"/>
      <c r="BO104" s="1"/>
      <c r="BP104" s="1"/>
      <c r="BQ104" s="1"/>
      <c r="BR104" s="1"/>
      <c r="BS104" s="1"/>
      <c r="BT104" s="1"/>
    </row>
    <row r="105" spans="1:72" ht="15.75" x14ac:dyDescent="0.25">
      <c r="A105" s="241" t="s">
        <v>102</v>
      </c>
      <c r="B105" s="242"/>
      <c r="C105" s="242"/>
      <c r="D105" s="242"/>
      <c r="E105" s="123" t="s">
        <v>87</v>
      </c>
      <c r="F105" s="128"/>
      <c r="G105" s="36">
        <v>200</v>
      </c>
      <c r="H105" s="48">
        <f t="shared" si="8"/>
        <v>0</v>
      </c>
      <c r="I105" s="59"/>
      <c r="J105" s="50"/>
      <c r="K105" s="51"/>
      <c r="L105" s="62"/>
      <c r="M105" s="16"/>
      <c r="N105" s="16"/>
      <c r="O105" s="16"/>
      <c r="P105" s="16"/>
      <c r="Q105" s="16"/>
      <c r="R105" s="16"/>
      <c r="S105" s="16"/>
      <c r="T105" s="16"/>
      <c r="U105" s="16"/>
      <c r="V105" s="16"/>
      <c r="W105" s="16"/>
      <c r="X105" s="16"/>
      <c r="Y105" s="1"/>
      <c r="Z105" s="120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  <c r="AV105" s="1"/>
      <c r="AW105" s="1"/>
      <c r="AX105" s="1"/>
      <c r="AY105" s="1"/>
      <c r="AZ105" s="1"/>
      <c r="BA105" s="1"/>
      <c r="BB105" s="1"/>
      <c r="BC105" s="1"/>
      <c r="BD105" s="1"/>
      <c r="BE105" s="1"/>
      <c r="BF105" s="1"/>
      <c r="BG105" s="1"/>
      <c r="BH105" s="1"/>
      <c r="BI105" s="1"/>
      <c r="BJ105" s="1"/>
      <c r="BK105" s="1"/>
      <c r="BL105" s="1"/>
      <c r="BM105" s="1"/>
      <c r="BN105" s="1"/>
      <c r="BO105" s="1"/>
      <c r="BP105" s="1"/>
      <c r="BQ105" s="1"/>
      <c r="BR105" s="1"/>
      <c r="BS105" s="1"/>
      <c r="BT105" s="1"/>
    </row>
    <row r="106" spans="1:72" ht="15.75" x14ac:dyDescent="0.25">
      <c r="A106" s="251" t="s">
        <v>103</v>
      </c>
      <c r="B106" s="252"/>
      <c r="C106" s="252"/>
      <c r="D106" s="253"/>
      <c r="E106" s="123" t="s">
        <v>87</v>
      </c>
      <c r="F106" s="128"/>
      <c r="G106" s="36">
        <v>1100</v>
      </c>
      <c r="H106" s="48">
        <f t="shared" si="8"/>
        <v>0</v>
      </c>
      <c r="I106" s="59"/>
      <c r="J106" s="50"/>
      <c r="K106" s="51"/>
      <c r="L106" s="62"/>
      <c r="M106" s="16"/>
      <c r="N106" s="16"/>
      <c r="O106" s="16"/>
      <c r="P106" s="16"/>
      <c r="Q106" s="16"/>
      <c r="R106" s="16"/>
      <c r="S106" s="16"/>
      <c r="T106" s="16"/>
      <c r="U106" s="16"/>
      <c r="V106" s="16"/>
      <c r="W106" s="16"/>
      <c r="X106" s="16"/>
      <c r="Y106" s="1"/>
      <c r="Z106" s="120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1"/>
      <c r="AV106" s="1"/>
      <c r="AW106" s="1"/>
      <c r="AX106" s="1"/>
      <c r="AY106" s="1"/>
      <c r="AZ106" s="1"/>
      <c r="BA106" s="1"/>
      <c r="BB106" s="1"/>
      <c r="BC106" s="1"/>
      <c r="BD106" s="1"/>
      <c r="BE106" s="1"/>
      <c r="BF106" s="1"/>
      <c r="BG106" s="1"/>
      <c r="BH106" s="1"/>
      <c r="BI106" s="1"/>
      <c r="BJ106" s="1"/>
      <c r="BK106" s="1"/>
      <c r="BL106" s="1"/>
      <c r="BM106" s="1"/>
      <c r="BN106" s="1"/>
      <c r="BO106" s="1"/>
      <c r="BP106" s="1"/>
      <c r="BQ106" s="1"/>
      <c r="BR106" s="1"/>
      <c r="BS106" s="1"/>
      <c r="BT106" s="1"/>
    </row>
    <row r="107" spans="1:72" ht="15.75" x14ac:dyDescent="0.25">
      <c r="A107" s="256" t="s">
        <v>104</v>
      </c>
      <c r="B107" s="256"/>
      <c r="C107" s="256"/>
      <c r="D107" s="256"/>
      <c r="E107" s="63" t="s">
        <v>87</v>
      </c>
      <c r="F107" s="128"/>
      <c r="G107" s="36">
        <v>2200</v>
      </c>
      <c r="H107" s="48">
        <f t="shared" si="8"/>
        <v>0</v>
      </c>
      <c r="I107" s="59"/>
      <c r="J107" s="50"/>
      <c r="K107" s="51"/>
      <c r="L107" s="62"/>
      <c r="M107" s="16"/>
      <c r="N107" s="16"/>
      <c r="O107" s="16"/>
      <c r="P107" s="16"/>
      <c r="Q107" s="16"/>
      <c r="R107" s="16"/>
      <c r="S107" s="16"/>
      <c r="T107" s="16"/>
      <c r="U107" s="16"/>
      <c r="V107" s="16"/>
      <c r="W107" s="16"/>
      <c r="X107" s="16"/>
      <c r="Y107" s="1"/>
      <c r="Z107" s="120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  <c r="AU107" s="1"/>
      <c r="AV107" s="1"/>
      <c r="AW107" s="1"/>
      <c r="AX107" s="1"/>
      <c r="AY107" s="1"/>
      <c r="AZ107" s="1"/>
      <c r="BA107" s="1"/>
      <c r="BB107" s="1"/>
      <c r="BC107" s="1"/>
      <c r="BD107" s="1"/>
      <c r="BE107" s="1"/>
      <c r="BF107" s="1"/>
      <c r="BG107" s="1"/>
      <c r="BH107" s="1"/>
      <c r="BI107" s="1"/>
      <c r="BJ107" s="1"/>
      <c r="BK107" s="1"/>
      <c r="BL107" s="1"/>
      <c r="BM107" s="1"/>
      <c r="BN107" s="1"/>
      <c r="BO107" s="1"/>
      <c r="BP107" s="1"/>
      <c r="BQ107" s="1"/>
      <c r="BR107" s="1"/>
      <c r="BS107" s="1"/>
      <c r="BT107" s="1"/>
    </row>
    <row r="108" spans="1:72" ht="15.75" x14ac:dyDescent="0.25">
      <c r="A108" s="232" t="s">
        <v>105</v>
      </c>
      <c r="B108" s="233"/>
      <c r="C108" s="233"/>
      <c r="D108" s="234"/>
      <c r="E108" s="4" t="s">
        <v>87</v>
      </c>
      <c r="F108" s="128"/>
      <c r="G108" s="31">
        <v>1420</v>
      </c>
      <c r="H108" s="60">
        <f t="shared" si="8"/>
        <v>0</v>
      </c>
      <c r="I108" s="64"/>
      <c r="J108" s="50"/>
      <c r="K108" s="51"/>
      <c r="L108" s="62"/>
      <c r="M108" s="16"/>
      <c r="N108" s="16"/>
      <c r="O108" s="16"/>
      <c r="P108" s="16"/>
      <c r="Q108" s="16"/>
      <c r="R108" s="16"/>
      <c r="S108" s="16"/>
      <c r="T108" s="16"/>
      <c r="U108" s="16"/>
      <c r="V108" s="16"/>
      <c r="W108" s="16"/>
      <c r="X108" s="16"/>
      <c r="Y108" s="1"/>
      <c r="Z108" s="120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  <c r="AV108" s="1"/>
      <c r="AW108" s="1"/>
      <c r="AX108" s="1"/>
      <c r="AY108" s="1"/>
      <c r="AZ108" s="1"/>
      <c r="BA108" s="1"/>
      <c r="BB108" s="1"/>
      <c r="BC108" s="1"/>
      <c r="BD108" s="1"/>
      <c r="BE108" s="1"/>
      <c r="BF108" s="1"/>
      <c r="BG108" s="1"/>
      <c r="BH108" s="1"/>
      <c r="BI108" s="1"/>
      <c r="BJ108" s="1"/>
      <c r="BK108" s="1"/>
      <c r="BL108" s="1"/>
      <c r="BM108" s="1"/>
      <c r="BN108" s="1"/>
      <c r="BO108" s="1"/>
      <c r="BP108" s="1"/>
      <c r="BQ108" s="1"/>
      <c r="BR108" s="1"/>
      <c r="BS108" s="1"/>
      <c r="BT108" s="1"/>
    </row>
    <row r="109" spans="1:72" ht="16.5" thickBot="1" x14ac:dyDescent="0.3">
      <c r="A109" s="241" t="s">
        <v>106</v>
      </c>
      <c r="B109" s="242"/>
      <c r="C109" s="242"/>
      <c r="D109" s="242"/>
      <c r="E109" s="123" t="s">
        <v>87</v>
      </c>
      <c r="F109" s="128"/>
      <c r="G109" s="36">
        <v>383.5</v>
      </c>
      <c r="H109" s="99">
        <f>(F109*G109)</f>
        <v>0</v>
      </c>
      <c r="I109" s="65"/>
      <c r="J109" s="66"/>
      <c r="K109" s="67"/>
      <c r="L109" s="62"/>
      <c r="M109" s="16"/>
      <c r="N109" s="16"/>
      <c r="O109" s="16"/>
      <c r="P109" s="16"/>
      <c r="Q109" s="16"/>
      <c r="R109" s="16"/>
      <c r="S109" s="16"/>
      <c r="T109" s="16"/>
      <c r="U109" s="16"/>
      <c r="V109" s="16"/>
      <c r="W109" s="16"/>
      <c r="X109" s="16"/>
      <c r="Y109" s="1"/>
      <c r="Z109" s="120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/>
      <c r="AV109" s="1"/>
      <c r="AW109" s="1"/>
      <c r="AX109" s="1"/>
      <c r="AY109" s="1"/>
      <c r="AZ109" s="1"/>
      <c r="BA109" s="1"/>
      <c r="BB109" s="1"/>
      <c r="BC109" s="1"/>
      <c r="BD109" s="1"/>
      <c r="BE109" s="1"/>
      <c r="BF109" s="1"/>
      <c r="BG109" s="1"/>
      <c r="BH109" s="1"/>
      <c r="BI109" s="1"/>
      <c r="BJ109" s="1"/>
      <c r="BK109" s="1"/>
      <c r="BL109" s="1"/>
      <c r="BM109" s="1"/>
      <c r="BN109" s="1"/>
      <c r="BO109" s="1"/>
      <c r="BP109" s="1"/>
      <c r="BQ109" s="1"/>
      <c r="BR109" s="1"/>
      <c r="BS109" s="1"/>
      <c r="BT109" s="1"/>
    </row>
    <row r="110" spans="1:72" ht="16.5" thickBot="1" x14ac:dyDescent="0.3">
      <c r="A110" s="16"/>
      <c r="B110" s="16"/>
      <c r="C110" s="16"/>
      <c r="D110" s="16"/>
      <c r="E110" s="16"/>
      <c r="F110" s="18"/>
      <c r="G110" s="125" t="s">
        <v>107</v>
      </c>
      <c r="H110" s="110">
        <f>SUM(H90:H109)</f>
        <v>0</v>
      </c>
      <c r="I110" s="68"/>
      <c r="J110" s="69"/>
      <c r="K110" s="70"/>
      <c r="L110" s="135"/>
      <c r="M110" s="7"/>
      <c r="N110" s="7"/>
      <c r="O110" s="16"/>
      <c r="P110" s="16"/>
      <c r="Q110" s="16"/>
      <c r="R110" s="16"/>
      <c r="S110" s="16"/>
      <c r="T110" s="16"/>
      <c r="U110" s="16"/>
      <c r="V110" s="16"/>
      <c r="W110" s="16"/>
      <c r="X110" s="16"/>
      <c r="Y110" s="1"/>
      <c r="Z110" s="120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  <c r="AV110" s="1"/>
      <c r="AW110" s="1"/>
      <c r="AX110" s="1"/>
      <c r="AY110" s="1"/>
      <c r="AZ110" s="1"/>
      <c r="BA110" s="1"/>
      <c r="BB110" s="1"/>
      <c r="BC110" s="1"/>
      <c r="BD110" s="1"/>
      <c r="BE110" s="1"/>
      <c r="BF110" s="1"/>
      <c r="BG110" s="1"/>
      <c r="BH110" s="1"/>
      <c r="BI110" s="1"/>
      <c r="BJ110" s="1"/>
      <c r="BK110" s="1"/>
      <c r="BL110" s="1"/>
      <c r="BM110" s="1"/>
      <c r="BN110" s="1"/>
      <c r="BO110" s="1"/>
      <c r="BP110" s="1"/>
      <c r="BQ110" s="1"/>
      <c r="BR110" s="1"/>
      <c r="BS110" s="1"/>
      <c r="BT110" s="1"/>
    </row>
    <row r="111" spans="1:72" ht="15.75" x14ac:dyDescent="0.25">
      <c r="A111" s="16"/>
      <c r="B111" s="16"/>
      <c r="C111" s="16"/>
      <c r="D111" s="16"/>
      <c r="E111" s="16"/>
      <c r="F111" s="7"/>
      <c r="G111" s="38"/>
      <c r="H111" s="22"/>
      <c r="I111" s="71"/>
      <c r="J111" s="18"/>
      <c r="K111" s="137"/>
      <c r="L111" s="136"/>
      <c r="M111" s="7"/>
      <c r="N111" s="7"/>
      <c r="O111" s="16"/>
      <c r="P111" s="16"/>
      <c r="Q111" s="16"/>
      <c r="R111" s="16"/>
      <c r="S111" s="16"/>
      <c r="T111" s="16"/>
      <c r="U111" s="16"/>
      <c r="V111" s="16"/>
      <c r="W111" s="16"/>
      <c r="X111" s="16"/>
      <c r="Y111" s="1"/>
      <c r="Z111" s="120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/>
      <c r="AV111" s="1"/>
      <c r="AW111" s="1"/>
      <c r="AX111" s="1"/>
      <c r="AY111" s="1"/>
      <c r="AZ111" s="1"/>
      <c r="BA111" s="1"/>
      <c r="BB111" s="1"/>
      <c r="BC111" s="1"/>
      <c r="BD111" s="1"/>
      <c r="BE111" s="1"/>
      <c r="BF111" s="1"/>
      <c r="BG111" s="1"/>
      <c r="BH111" s="1"/>
      <c r="BI111" s="1"/>
      <c r="BJ111" s="1"/>
      <c r="BK111" s="1"/>
      <c r="BL111" s="1"/>
      <c r="BM111" s="1"/>
      <c r="BN111" s="1"/>
      <c r="BO111" s="1"/>
      <c r="BP111" s="1"/>
      <c r="BQ111" s="1"/>
      <c r="BR111" s="1"/>
      <c r="BS111" s="1"/>
      <c r="BT111" s="1"/>
    </row>
    <row r="112" spans="1:72" ht="15.75" x14ac:dyDescent="0.25">
      <c r="A112" s="16"/>
      <c r="B112" s="16"/>
      <c r="C112" s="16"/>
      <c r="D112" s="16"/>
      <c r="E112" s="138">
        <v>0</v>
      </c>
      <c r="F112" s="7"/>
      <c r="G112" s="38"/>
      <c r="H112" s="142">
        <f>+E112</f>
        <v>0</v>
      </c>
      <c r="I112" s="264" t="s">
        <v>130</v>
      </c>
      <c r="J112" s="257" t="s">
        <v>108</v>
      </c>
      <c r="K112" s="259"/>
      <c r="L112" s="16"/>
      <c r="M112" s="7"/>
      <c r="N112" s="260"/>
      <c r="O112" s="16"/>
      <c r="P112" s="16"/>
      <c r="Q112" s="16"/>
      <c r="R112" s="16"/>
      <c r="S112" s="16"/>
      <c r="T112" s="16"/>
      <c r="U112" s="16"/>
      <c r="V112" s="16"/>
      <c r="W112" s="16"/>
      <c r="X112" s="16"/>
      <c r="Y112" s="1"/>
      <c r="Z112" s="120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  <c r="AV112" s="1"/>
      <c r="AW112" s="1"/>
      <c r="AX112" s="1"/>
      <c r="AY112" s="1"/>
      <c r="AZ112" s="1"/>
      <c r="BA112" s="1"/>
      <c r="BB112" s="1"/>
      <c r="BC112" s="1"/>
      <c r="BD112" s="1"/>
      <c r="BE112" s="1"/>
      <c r="BF112" s="1"/>
      <c r="BG112" s="1"/>
      <c r="BH112" s="1"/>
      <c r="BI112" s="1"/>
      <c r="BJ112" s="1"/>
      <c r="BK112" s="1"/>
      <c r="BL112" s="1"/>
      <c r="BM112" s="1"/>
      <c r="BN112" s="1"/>
      <c r="BO112" s="1"/>
      <c r="BP112" s="1"/>
      <c r="BQ112" s="1"/>
      <c r="BR112" s="1"/>
      <c r="BS112" s="1"/>
      <c r="BT112" s="1"/>
    </row>
    <row r="113" spans="1:72" ht="15.75" x14ac:dyDescent="0.25">
      <c r="A113" s="16"/>
      <c r="B113" s="16"/>
      <c r="C113" s="16"/>
      <c r="D113" s="16"/>
      <c r="E113" s="16"/>
      <c r="F113" s="261" t="s">
        <v>109</v>
      </c>
      <c r="G113" s="262"/>
      <c r="H113" s="73">
        <f>H87+H110</f>
        <v>5700</v>
      </c>
      <c r="I113" s="265"/>
      <c r="J113" s="258"/>
      <c r="K113" s="259"/>
      <c r="L113" s="16"/>
      <c r="M113" s="7"/>
      <c r="N113" s="260"/>
      <c r="O113" s="16"/>
      <c r="P113" s="16"/>
      <c r="Q113" s="16"/>
      <c r="R113" s="16"/>
      <c r="S113" s="16"/>
      <c r="T113" s="16"/>
      <c r="U113" s="16"/>
      <c r="V113" s="16"/>
      <c r="W113" s="16"/>
      <c r="X113" s="16"/>
      <c r="Y113" s="1"/>
      <c r="Z113" s="120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  <c r="AV113" s="1"/>
      <c r="AW113" s="1"/>
      <c r="AX113" s="1"/>
      <c r="AY113" s="1"/>
      <c r="AZ113" s="1"/>
      <c r="BA113" s="1"/>
      <c r="BB113" s="1"/>
      <c r="BC113" s="1"/>
      <c r="BD113" s="1"/>
      <c r="BE113" s="1"/>
      <c r="BF113" s="1"/>
      <c r="BG113" s="1"/>
      <c r="BH113" s="1"/>
      <c r="BI113" s="1"/>
      <c r="BJ113" s="1"/>
      <c r="BK113" s="1"/>
      <c r="BL113" s="1"/>
      <c r="BM113" s="1"/>
      <c r="BN113" s="1"/>
      <c r="BO113" s="1"/>
      <c r="BP113" s="1"/>
      <c r="BQ113" s="1"/>
      <c r="BR113" s="1"/>
      <c r="BS113" s="1"/>
      <c r="BT113" s="1"/>
    </row>
    <row r="114" spans="1:72" ht="15.75" x14ac:dyDescent="0.25">
      <c r="A114" s="16"/>
      <c r="B114" s="16">
        <f>1.13*1.15</f>
        <v>1.2994999999999999</v>
      </c>
      <c r="C114" s="16"/>
      <c r="D114" s="16" t="s">
        <v>173</v>
      </c>
      <c r="E114" s="27"/>
      <c r="F114" s="74" t="s">
        <v>110</v>
      </c>
      <c r="G114" s="171">
        <v>1.1000000000000001</v>
      </c>
      <c r="H114" s="116">
        <f>H113*G114-H113</f>
        <v>570.00000000000091</v>
      </c>
      <c r="I114" s="115">
        <f>+(H121-K120)*0.23</f>
        <v>471.43560000000031</v>
      </c>
      <c r="J114" s="117">
        <f>H114-M120</f>
        <v>342.57000000000085</v>
      </c>
      <c r="K114" s="9"/>
      <c r="L114" s="9"/>
      <c r="M114" s="9"/>
      <c r="N114" s="126" t="s">
        <v>171</v>
      </c>
      <c r="O114" s="126"/>
      <c r="P114" s="16"/>
      <c r="Q114" s="16"/>
      <c r="R114" s="16"/>
      <c r="S114" s="16"/>
      <c r="T114" s="16"/>
      <c r="U114" s="16"/>
      <c r="V114" s="16"/>
      <c r="W114" s="16"/>
      <c r="X114" s="16"/>
      <c r="Y114" s="1"/>
      <c r="Z114" s="120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  <c r="AV114" s="1"/>
      <c r="AW114" s="1"/>
      <c r="AX114" s="1"/>
      <c r="AY114" s="1"/>
      <c r="AZ114" s="1"/>
      <c r="BA114" s="1"/>
      <c r="BB114" s="1"/>
      <c r="BC114" s="1"/>
      <c r="BD114" s="1"/>
      <c r="BE114" s="1"/>
      <c r="BF114" s="1"/>
      <c r="BG114" s="1"/>
      <c r="BH114" s="1"/>
      <c r="BI114" s="1"/>
      <c r="BJ114" s="1"/>
      <c r="BK114" s="1"/>
      <c r="BL114" s="1"/>
      <c r="BM114" s="1"/>
      <c r="BN114" s="1"/>
      <c r="BO114" s="1"/>
      <c r="BP114" s="1"/>
      <c r="BQ114" s="1"/>
      <c r="BR114" s="1"/>
      <c r="BS114" s="1"/>
      <c r="BT114" s="1"/>
    </row>
    <row r="115" spans="1:72" ht="15.75" x14ac:dyDescent="0.25">
      <c r="A115" s="16"/>
      <c r="B115" s="16"/>
      <c r="C115" s="16"/>
      <c r="D115" s="16"/>
      <c r="E115" s="27"/>
      <c r="F115" s="77" t="s">
        <v>111</v>
      </c>
      <c r="G115" s="78"/>
      <c r="H115" s="13">
        <f>H113+H114</f>
        <v>6270.0000000000009</v>
      </c>
      <c r="I115" s="20"/>
      <c r="J115" s="79"/>
      <c r="K115" s="22"/>
      <c r="L115" s="22"/>
      <c r="M115" s="7"/>
      <c r="N115" s="126"/>
      <c r="O115" s="126"/>
      <c r="P115" s="16"/>
      <c r="Q115" s="16"/>
      <c r="R115" s="16"/>
      <c r="S115" s="16"/>
      <c r="T115" s="16"/>
      <c r="U115" s="16"/>
      <c r="V115" s="16"/>
      <c r="W115" s="16"/>
      <c r="X115" s="16"/>
      <c r="Y115" s="1"/>
      <c r="Z115" s="120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1"/>
      <c r="AV115" s="1"/>
      <c r="AW115" s="1"/>
      <c r="AX115" s="1"/>
      <c r="AY115" s="1"/>
      <c r="AZ115" s="1"/>
      <c r="BA115" s="1"/>
      <c r="BB115" s="1"/>
      <c r="BC115" s="1"/>
      <c r="BD115" s="1"/>
      <c r="BE115" s="1"/>
      <c r="BF115" s="1"/>
      <c r="BG115" s="1"/>
      <c r="BH115" s="1"/>
      <c r="BI115" s="1"/>
      <c r="BJ115" s="1"/>
      <c r="BK115" s="1"/>
      <c r="BL115" s="1"/>
      <c r="BM115" s="1"/>
      <c r="BN115" s="1"/>
      <c r="BO115" s="1"/>
      <c r="BP115" s="1"/>
      <c r="BQ115" s="1"/>
      <c r="BR115" s="1"/>
      <c r="BS115" s="1"/>
      <c r="BT115" s="1"/>
    </row>
    <row r="116" spans="1:72" ht="15.75" x14ac:dyDescent="0.25">
      <c r="A116" s="16"/>
      <c r="B116" s="16"/>
      <c r="C116" s="16"/>
      <c r="D116" s="16"/>
      <c r="E116" s="27"/>
      <c r="F116" s="124" t="s">
        <v>113</v>
      </c>
      <c r="G116" s="82">
        <v>0.03</v>
      </c>
      <c r="H116" s="13">
        <f>H115*G116</f>
        <v>188.10000000000002</v>
      </c>
      <c r="I116" s="83"/>
      <c r="J116" s="80"/>
      <c r="K116" s="81" t="s">
        <v>112</v>
      </c>
      <c r="L116" s="111" t="s">
        <v>131</v>
      </c>
      <c r="M116" s="7"/>
      <c r="N116" s="135"/>
      <c r="O116" s="16"/>
      <c r="P116" s="16"/>
      <c r="Q116" s="16"/>
      <c r="R116" s="16"/>
      <c r="S116" s="16"/>
      <c r="T116" s="16"/>
      <c r="U116" s="16"/>
      <c r="V116" s="16"/>
      <c r="W116" s="16"/>
      <c r="X116" s="16"/>
      <c r="Y116" s="1"/>
      <c r="Z116" s="120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  <c r="AV116" s="1"/>
      <c r="AW116" s="1"/>
      <c r="AX116" s="1"/>
      <c r="AY116" s="1"/>
      <c r="AZ116" s="1"/>
      <c r="BA116" s="1"/>
      <c r="BB116" s="1"/>
      <c r="BC116" s="1"/>
      <c r="BD116" s="1"/>
      <c r="BE116" s="1"/>
      <c r="BF116" s="1"/>
      <c r="BG116" s="1"/>
      <c r="BH116" s="1"/>
      <c r="BI116" s="1"/>
      <c r="BJ116" s="1"/>
      <c r="BK116" s="1"/>
      <c r="BL116" s="1"/>
      <c r="BM116" s="1"/>
      <c r="BN116" s="1"/>
      <c r="BO116" s="1"/>
      <c r="BP116" s="1"/>
      <c r="BQ116" s="1"/>
      <c r="BR116" s="1"/>
      <c r="BS116" s="1"/>
      <c r="BT116" s="1"/>
    </row>
    <row r="117" spans="1:72" ht="15.75" x14ac:dyDescent="0.25">
      <c r="A117" s="16"/>
      <c r="B117" s="16"/>
      <c r="C117" s="16"/>
      <c r="D117" s="16"/>
      <c r="E117" s="27"/>
      <c r="F117" s="4" t="s">
        <v>115</v>
      </c>
      <c r="G117" s="77"/>
      <c r="H117" s="13">
        <f>H115+H116</f>
        <v>6458.1000000000013</v>
      </c>
      <c r="I117" s="80"/>
      <c r="J117" s="80" t="s">
        <v>114</v>
      </c>
      <c r="K117" s="6">
        <f>+H27</f>
        <v>0</v>
      </c>
      <c r="L117" s="112"/>
      <c r="M117" s="135"/>
      <c r="N117" s="7"/>
      <c r="O117" s="16"/>
      <c r="P117" s="16"/>
      <c r="Q117" s="16"/>
      <c r="R117" s="16"/>
      <c r="S117" s="16"/>
      <c r="T117" s="16"/>
      <c r="U117" s="16"/>
      <c r="V117" s="16"/>
      <c r="W117" s="16"/>
      <c r="X117" s="16"/>
      <c r="Y117" s="1"/>
      <c r="Z117" s="120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  <c r="AV117" s="1"/>
      <c r="AW117" s="1"/>
      <c r="AX117" s="1"/>
      <c r="AY117" s="1"/>
      <c r="AZ117" s="1"/>
      <c r="BA117" s="1"/>
      <c r="BB117" s="1"/>
      <c r="BC117" s="1"/>
      <c r="BD117" s="1"/>
      <c r="BE117" s="1"/>
      <c r="BF117" s="1"/>
      <c r="BG117" s="1"/>
      <c r="BH117" s="1"/>
      <c r="BI117" s="1"/>
      <c r="BJ117" s="1"/>
      <c r="BK117" s="1"/>
      <c r="BL117" s="1"/>
      <c r="BM117" s="1"/>
      <c r="BN117" s="1"/>
      <c r="BO117" s="1"/>
      <c r="BP117" s="1"/>
      <c r="BQ117" s="1"/>
      <c r="BR117" s="1"/>
      <c r="BS117" s="1"/>
      <c r="BT117" s="1"/>
    </row>
    <row r="118" spans="1:72" ht="15.75" x14ac:dyDescent="0.25">
      <c r="A118" s="16"/>
      <c r="B118" s="16"/>
      <c r="C118" s="16"/>
      <c r="D118" s="16"/>
      <c r="E118" s="169">
        <v>0.27500000000000002</v>
      </c>
      <c r="F118" s="124" t="s">
        <v>117</v>
      </c>
      <c r="G118" s="82">
        <v>0.2</v>
      </c>
      <c r="H118" s="13">
        <f>H117*G118</f>
        <v>1291.6200000000003</v>
      </c>
      <c r="I118" s="80"/>
      <c r="J118" s="80" t="s">
        <v>116</v>
      </c>
      <c r="K118" s="6">
        <f>H55</f>
        <v>0</v>
      </c>
      <c r="L118" s="112"/>
      <c r="M118" s="135"/>
      <c r="N118" s="7"/>
      <c r="O118" s="16"/>
      <c r="P118" s="16"/>
      <c r="Q118" s="16"/>
      <c r="R118" s="16"/>
      <c r="S118" s="16"/>
      <c r="T118" s="16"/>
      <c r="U118" s="16"/>
      <c r="V118" s="16"/>
      <c r="W118" s="16"/>
      <c r="X118" s="16"/>
      <c r="Y118" s="1"/>
      <c r="Z118" s="120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  <c r="AV118" s="1"/>
      <c r="AW118" s="1"/>
      <c r="AX118" s="1"/>
      <c r="AY118" s="1"/>
      <c r="AZ118" s="1"/>
      <c r="BA118" s="1"/>
      <c r="BB118" s="1"/>
      <c r="BC118" s="1"/>
      <c r="BD118" s="1"/>
      <c r="BE118" s="1"/>
      <c r="BF118" s="1"/>
      <c r="BG118" s="1"/>
      <c r="BH118" s="1"/>
      <c r="BI118" s="1"/>
      <c r="BJ118" s="1"/>
      <c r="BK118" s="1"/>
      <c r="BL118" s="1"/>
      <c r="BM118" s="1"/>
      <c r="BN118" s="1"/>
      <c r="BO118" s="1"/>
      <c r="BP118" s="1"/>
      <c r="BQ118" s="1"/>
      <c r="BR118" s="1"/>
      <c r="BS118" s="1"/>
      <c r="BT118" s="1"/>
    </row>
    <row r="119" spans="1:72" ht="15.75" x14ac:dyDescent="0.25">
      <c r="A119" s="16"/>
      <c r="B119" s="16"/>
      <c r="C119" s="16"/>
      <c r="D119" s="16"/>
      <c r="E119" s="16"/>
      <c r="F119" s="124" t="s">
        <v>119</v>
      </c>
      <c r="G119" s="74"/>
      <c r="H119" s="85">
        <f>H117+H118</f>
        <v>7749.7200000000012</v>
      </c>
      <c r="I119" s="13"/>
      <c r="J119" s="80" t="s">
        <v>118</v>
      </c>
      <c r="K119" s="6">
        <f>H87-H57</f>
        <v>5700</v>
      </c>
      <c r="L119" s="112"/>
      <c r="M119" s="84" t="s">
        <v>127</v>
      </c>
      <c r="N119" s="7"/>
      <c r="O119" s="16"/>
      <c r="P119" s="16"/>
      <c r="Q119" s="16"/>
      <c r="R119" s="16"/>
      <c r="S119" s="16"/>
      <c r="T119" s="16"/>
      <c r="U119" s="16"/>
      <c r="V119" s="16"/>
      <c r="W119" s="16"/>
      <c r="X119" s="16"/>
      <c r="Y119" s="1"/>
      <c r="Z119" s="120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/>
      <c r="AV119" s="1"/>
      <c r="AW119" s="1"/>
      <c r="AX119" s="1"/>
      <c r="AY119" s="1"/>
      <c r="AZ119" s="1"/>
      <c r="BA119" s="1"/>
      <c r="BB119" s="1"/>
      <c r="BC119" s="1"/>
      <c r="BD119" s="1"/>
      <c r="BE119" s="1"/>
      <c r="BF119" s="1"/>
      <c r="BG119" s="1"/>
      <c r="BH119" s="1"/>
      <c r="BI119" s="1"/>
      <c r="BJ119" s="1"/>
      <c r="BK119" s="1"/>
      <c r="BL119" s="1"/>
      <c r="BM119" s="1"/>
      <c r="BN119" s="1"/>
      <c r="BO119" s="1"/>
      <c r="BP119" s="1"/>
      <c r="BQ119" s="1"/>
      <c r="BR119" s="1"/>
      <c r="BS119" s="1"/>
      <c r="BT119" s="1"/>
    </row>
    <row r="120" spans="1:72" ht="15.75" x14ac:dyDescent="0.25">
      <c r="A120" s="16"/>
      <c r="B120" s="16"/>
      <c r="C120" s="16"/>
      <c r="D120" s="16"/>
      <c r="E120" s="16"/>
      <c r="F120" s="124"/>
      <c r="G120" s="87"/>
      <c r="H120" s="13"/>
      <c r="I120" s="88" t="s">
        <v>120</v>
      </c>
      <c r="J120" s="86" t="s">
        <v>56</v>
      </c>
      <c r="K120" s="6">
        <f>SUM(K117:K119)</f>
        <v>5700</v>
      </c>
      <c r="L120" s="113">
        <f>H119-H118</f>
        <v>6458.1</v>
      </c>
      <c r="M120" s="114">
        <f>+(L120-K120)*0.3</f>
        <v>227.43000000000009</v>
      </c>
      <c r="N120" s="7"/>
      <c r="O120" s="16"/>
      <c r="P120" s="16"/>
      <c r="Q120" s="16"/>
      <c r="R120" s="16"/>
      <c r="S120" s="16"/>
      <c r="T120" s="16"/>
      <c r="U120" s="16"/>
      <c r="V120" s="16"/>
      <c r="W120" s="16"/>
      <c r="X120" s="16"/>
      <c r="Y120" s="1"/>
      <c r="Z120" s="120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  <c r="AV120" s="1"/>
      <c r="AW120" s="1"/>
      <c r="AX120" s="1"/>
      <c r="AY120" s="1"/>
      <c r="AZ120" s="1"/>
      <c r="BA120" s="1"/>
      <c r="BB120" s="1"/>
      <c r="BC120" s="1"/>
      <c r="BD120" s="1"/>
      <c r="BE120" s="1"/>
      <c r="BF120" s="1"/>
      <c r="BG120" s="1"/>
      <c r="BH120" s="1"/>
      <c r="BI120" s="1"/>
      <c r="BJ120" s="1"/>
      <c r="BK120" s="1"/>
      <c r="BL120" s="1"/>
      <c r="BM120" s="1"/>
      <c r="BN120" s="1"/>
      <c r="BO120" s="1"/>
      <c r="BP120" s="1"/>
      <c r="BQ120" s="1"/>
      <c r="BR120" s="1"/>
      <c r="BS120" s="1"/>
      <c r="BT120" s="1"/>
    </row>
    <row r="121" spans="1:72" ht="15.75" x14ac:dyDescent="0.25">
      <c r="A121" s="16"/>
      <c r="B121" s="16" t="s">
        <v>121</v>
      </c>
      <c r="C121" s="16"/>
      <c r="D121" s="16"/>
      <c r="E121" s="16"/>
      <c r="F121" s="124" t="s">
        <v>126</v>
      </c>
      <c r="G121" s="90"/>
      <c r="H121" s="98">
        <f>H119+H120</f>
        <v>7749.7200000000012</v>
      </c>
      <c r="I121" s="13"/>
      <c r="J121" s="89">
        <f>H119/H113</f>
        <v>1.3596000000000001</v>
      </c>
      <c r="K121" s="7"/>
      <c r="L121" s="7"/>
      <c r="M121" s="23"/>
      <c r="N121" s="7"/>
      <c r="O121" s="16"/>
      <c r="P121" s="16"/>
      <c r="Q121" s="16"/>
      <c r="R121" s="16"/>
      <c r="S121" s="16"/>
      <c r="T121" s="16"/>
      <c r="U121" s="16"/>
      <c r="V121" s="16"/>
      <c r="W121" s="16"/>
      <c r="X121" s="16"/>
      <c r="Y121" s="1"/>
      <c r="Z121" s="120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/>
      <c r="AV121" s="1"/>
      <c r="AW121" s="1"/>
      <c r="AX121" s="1"/>
      <c r="AY121" s="1"/>
      <c r="AZ121" s="1"/>
      <c r="BA121" s="1"/>
      <c r="BB121" s="1"/>
      <c r="BC121" s="1"/>
      <c r="BD121" s="1"/>
      <c r="BE121" s="1"/>
      <c r="BF121" s="1"/>
      <c r="BG121" s="1"/>
      <c r="BH121" s="1"/>
      <c r="BI121" s="1"/>
      <c r="BJ121" s="1"/>
      <c r="BK121" s="1"/>
      <c r="BL121" s="1"/>
      <c r="BM121" s="1"/>
      <c r="BN121" s="1"/>
      <c r="BO121" s="1"/>
      <c r="BP121" s="1"/>
      <c r="BQ121" s="1"/>
      <c r="BR121" s="1"/>
      <c r="BS121" s="1"/>
      <c r="BT121" s="1"/>
    </row>
    <row r="122" spans="1:72" ht="15.75" x14ac:dyDescent="0.25">
      <c r="A122" s="16"/>
      <c r="B122" s="139" t="s">
        <v>172</v>
      </c>
      <c r="C122" s="139" t="s">
        <v>123</v>
      </c>
      <c r="D122" s="140" t="s">
        <v>124</v>
      </c>
      <c r="E122" s="132"/>
      <c r="F122" s="7"/>
      <c r="G122" s="92"/>
      <c r="H122" s="9"/>
      <c r="I122" s="7"/>
      <c r="J122" s="7"/>
      <c r="K122" s="7"/>
      <c r="L122" s="7"/>
      <c r="M122" s="9"/>
      <c r="N122" s="91"/>
      <c r="O122" s="16"/>
      <c r="P122" s="16"/>
      <c r="Q122" s="16"/>
      <c r="R122" s="16"/>
      <c r="S122" s="16"/>
      <c r="T122" s="16"/>
      <c r="U122" s="16"/>
      <c r="V122" s="16"/>
      <c r="W122" s="16"/>
      <c r="X122" s="16"/>
      <c r="Y122" s="1"/>
      <c r="Z122" s="120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  <c r="AU122" s="1"/>
      <c r="AV122" s="1"/>
      <c r="AW122" s="1"/>
      <c r="AX122" s="1"/>
      <c r="AY122" s="1"/>
      <c r="AZ122" s="1"/>
      <c r="BA122" s="1"/>
      <c r="BB122" s="1"/>
      <c r="BC122" s="1"/>
      <c r="BD122" s="1"/>
      <c r="BE122" s="1"/>
      <c r="BF122" s="1"/>
      <c r="BG122" s="1"/>
      <c r="BH122" s="1"/>
      <c r="BI122" s="1"/>
      <c r="BJ122" s="1"/>
      <c r="BK122" s="1"/>
      <c r="BL122" s="1"/>
      <c r="BM122" s="1"/>
      <c r="BN122" s="1"/>
      <c r="BO122" s="1"/>
      <c r="BP122" s="1"/>
      <c r="BQ122" s="1"/>
      <c r="BR122" s="1"/>
      <c r="BS122" s="1"/>
      <c r="BT122" s="1"/>
    </row>
    <row r="123" spans="1:72" ht="15.75" x14ac:dyDescent="0.25">
      <c r="A123" s="16"/>
      <c r="B123" s="141">
        <v>0.27500000000000002</v>
      </c>
      <c r="C123" s="141">
        <v>0.05</v>
      </c>
      <c r="D123" s="170">
        <f>1.275*1.05</f>
        <v>1.3387499999999999</v>
      </c>
      <c r="E123" s="16"/>
      <c r="F123" s="92"/>
      <c r="G123" s="93"/>
      <c r="H123" s="9"/>
      <c r="I123" s="7"/>
      <c r="J123" s="7"/>
      <c r="K123" s="7"/>
      <c r="L123" s="7"/>
      <c r="M123" s="9"/>
      <c r="N123" s="7"/>
      <c r="O123" s="16"/>
      <c r="P123" s="16"/>
      <c r="Q123" s="16"/>
      <c r="R123" s="16"/>
      <c r="S123" s="16"/>
      <c r="T123" s="16"/>
      <c r="U123" s="16"/>
      <c r="V123" s="16"/>
      <c r="W123" s="16"/>
      <c r="X123" s="16"/>
      <c r="Y123" s="1"/>
      <c r="Z123" s="120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/>
      <c r="AV123" s="1"/>
      <c r="AW123" s="1"/>
      <c r="AX123" s="1"/>
      <c r="AY123" s="1"/>
      <c r="AZ123" s="1"/>
      <c r="BA123" s="1"/>
      <c r="BB123" s="1"/>
      <c r="BC123" s="1"/>
      <c r="BD123" s="1"/>
      <c r="BE123" s="1"/>
      <c r="BF123" s="1"/>
      <c r="BG123" s="1"/>
      <c r="BH123" s="1"/>
      <c r="BI123" s="1"/>
      <c r="BJ123" s="1"/>
      <c r="BK123" s="1"/>
      <c r="BL123" s="1"/>
      <c r="BM123" s="1"/>
      <c r="BN123" s="1"/>
      <c r="BO123" s="1"/>
      <c r="BP123" s="1"/>
      <c r="BQ123" s="1"/>
      <c r="BR123" s="1"/>
      <c r="BS123" s="1"/>
      <c r="BT123" s="1"/>
    </row>
    <row r="124" spans="1:72" ht="15.75" x14ac:dyDescent="0.25">
      <c r="A124" s="16"/>
      <c r="B124" s="16"/>
      <c r="C124" s="16"/>
      <c r="D124" s="169">
        <v>0.33879999999999999</v>
      </c>
      <c r="E124" s="16"/>
      <c r="F124" s="23"/>
      <c r="G124" s="94"/>
      <c r="H124" s="93"/>
      <c r="I124" s="27"/>
      <c r="J124" s="7"/>
      <c r="K124" s="7"/>
      <c r="L124" s="7"/>
      <c r="M124" s="7"/>
      <c r="N124" s="7"/>
      <c r="O124" s="16"/>
      <c r="P124" s="16"/>
      <c r="Q124" s="16"/>
      <c r="R124" s="16"/>
      <c r="S124" s="16"/>
      <c r="T124" s="16"/>
      <c r="U124" s="16"/>
      <c r="V124" s="16"/>
      <c r="W124" s="16"/>
      <c r="X124" s="16"/>
      <c r="Y124" s="1"/>
      <c r="Z124" s="120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/>
      <c r="AV124" s="1"/>
      <c r="AW124" s="1"/>
      <c r="AX124" s="1"/>
      <c r="AY124" s="1"/>
      <c r="AZ124" s="1"/>
      <c r="BA124" s="1"/>
      <c r="BB124" s="1"/>
      <c r="BC124" s="1"/>
      <c r="BD124" s="1"/>
      <c r="BE124" s="1"/>
      <c r="BF124" s="1"/>
      <c r="BG124" s="1"/>
      <c r="BH124" s="1"/>
      <c r="BI124" s="1"/>
      <c r="BJ124" s="1"/>
      <c r="BK124" s="1"/>
      <c r="BL124" s="1"/>
      <c r="BM124" s="1"/>
      <c r="BN124" s="1"/>
      <c r="BO124" s="1"/>
      <c r="BP124" s="1"/>
      <c r="BQ124" s="1"/>
      <c r="BR124" s="1"/>
      <c r="BS124" s="1"/>
      <c r="BT124" s="1"/>
    </row>
    <row r="125" spans="1:72" ht="15.75" x14ac:dyDescent="0.25">
      <c r="A125" s="1"/>
      <c r="B125" s="1"/>
      <c r="C125" s="1"/>
      <c r="D125" s="1"/>
      <c r="E125" s="1"/>
      <c r="F125" s="23"/>
      <c r="G125" s="94"/>
      <c r="H125" s="93"/>
      <c r="I125" s="95"/>
      <c r="J125" s="18"/>
      <c r="K125" s="18"/>
      <c r="L125" s="18"/>
      <c r="M125" s="18"/>
      <c r="N125" s="18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20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/>
      <c r="AV125" s="1"/>
      <c r="AW125" s="1"/>
      <c r="AX125" s="1"/>
      <c r="AY125" s="1"/>
      <c r="AZ125" s="1"/>
      <c r="BA125" s="1"/>
      <c r="BB125" s="1"/>
      <c r="BC125" s="1"/>
      <c r="BD125" s="1"/>
      <c r="BE125" s="1"/>
      <c r="BF125" s="1"/>
      <c r="BG125" s="1"/>
      <c r="BH125" s="1"/>
      <c r="BI125" s="1"/>
      <c r="BJ125" s="1"/>
      <c r="BK125" s="1"/>
      <c r="BL125" s="1"/>
      <c r="BM125" s="1"/>
      <c r="BN125" s="1"/>
      <c r="BO125" s="1"/>
      <c r="BP125" s="1"/>
      <c r="BQ125" s="1"/>
      <c r="BR125" s="1"/>
      <c r="BS125" s="1"/>
      <c r="BT125" s="1"/>
    </row>
    <row r="126" spans="1:72" ht="15.75" x14ac:dyDescent="0.25">
      <c r="A126" s="1"/>
      <c r="B126" s="1"/>
      <c r="C126" s="1"/>
      <c r="D126" s="1"/>
      <c r="E126" s="1"/>
      <c r="F126" s="23"/>
      <c r="G126" s="76"/>
      <c r="H126" s="76"/>
      <c r="I126" s="18"/>
      <c r="J126" s="18"/>
      <c r="K126" s="18"/>
      <c r="L126" s="18"/>
      <c r="M126" s="18"/>
      <c r="N126" s="18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20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/>
      <c r="AV126" s="1"/>
      <c r="AW126" s="1"/>
      <c r="AX126" s="1"/>
      <c r="AY126" s="1"/>
      <c r="AZ126" s="1"/>
      <c r="BA126" s="1"/>
      <c r="BB126" s="1"/>
      <c r="BC126" s="1"/>
      <c r="BD126" s="1"/>
      <c r="BE126" s="1"/>
      <c r="BF126" s="1"/>
      <c r="BG126" s="1"/>
      <c r="BH126" s="1"/>
      <c r="BI126" s="1"/>
      <c r="BJ126" s="1"/>
      <c r="BK126" s="1"/>
      <c r="BL126" s="1"/>
      <c r="BM126" s="1"/>
      <c r="BN126" s="1"/>
      <c r="BO126" s="1"/>
      <c r="BP126" s="1"/>
      <c r="BQ126" s="1"/>
      <c r="BR126" s="1"/>
      <c r="BS126" s="1"/>
      <c r="BT126" s="1"/>
    </row>
    <row r="127" spans="1:72" ht="15.75" x14ac:dyDescent="0.25">
      <c r="A127" s="1"/>
      <c r="B127" s="1"/>
      <c r="C127" s="1"/>
      <c r="D127" s="1"/>
      <c r="E127" s="1"/>
      <c r="F127" s="23"/>
      <c r="G127" s="5"/>
      <c r="H127" s="1"/>
      <c r="I127" s="1"/>
      <c r="J127" s="18"/>
      <c r="K127" s="18"/>
      <c r="L127" s="18"/>
      <c r="M127" s="18"/>
      <c r="N127" s="18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20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/>
      <c r="AV127" s="1"/>
      <c r="AW127" s="1"/>
      <c r="AX127" s="1"/>
      <c r="AY127" s="1"/>
      <c r="AZ127" s="1"/>
      <c r="BA127" s="1"/>
      <c r="BB127" s="1"/>
      <c r="BC127" s="1"/>
      <c r="BD127" s="1"/>
      <c r="BE127" s="1"/>
      <c r="BF127" s="1"/>
      <c r="BG127" s="1"/>
      <c r="BH127" s="1"/>
      <c r="BI127" s="1"/>
      <c r="BJ127" s="1"/>
      <c r="BK127" s="1"/>
      <c r="BL127" s="1"/>
      <c r="BM127" s="1"/>
      <c r="BN127" s="1"/>
      <c r="BO127" s="1"/>
      <c r="BP127" s="1"/>
      <c r="BQ127" s="1"/>
      <c r="BR127" s="1"/>
      <c r="BS127" s="1"/>
      <c r="BT127" s="1"/>
    </row>
    <row r="128" spans="1:72" ht="15.75" x14ac:dyDescent="0.25">
      <c r="A128" s="1"/>
      <c r="B128" s="1"/>
      <c r="C128" s="1"/>
      <c r="D128" s="1"/>
      <c r="E128" s="1"/>
      <c r="F128" s="1"/>
      <c r="G128" s="18"/>
      <c r="H128" s="4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20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  <c r="AV128" s="1"/>
      <c r="AW128" s="1"/>
      <c r="AX128" s="1"/>
      <c r="AY128" s="1"/>
      <c r="AZ128" s="1"/>
      <c r="BA128" s="1"/>
      <c r="BB128" s="1"/>
      <c r="BC128" s="1"/>
      <c r="BD128" s="1"/>
      <c r="BE128" s="1"/>
      <c r="BF128" s="1"/>
      <c r="BG128" s="1"/>
      <c r="BH128" s="1"/>
      <c r="BI128" s="1"/>
      <c r="BJ128" s="1"/>
      <c r="BK128" s="1"/>
      <c r="BL128" s="1"/>
      <c r="BM128" s="1"/>
      <c r="BN128" s="1"/>
      <c r="BO128" s="1"/>
      <c r="BP128" s="1"/>
      <c r="BQ128" s="1"/>
      <c r="BR128" s="1"/>
      <c r="BS128" s="1"/>
      <c r="BT128" s="1"/>
    </row>
    <row r="129" spans="1:72" ht="15.75" x14ac:dyDescent="0.25">
      <c r="A129" s="1"/>
      <c r="B129" s="1"/>
      <c r="C129" s="96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20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/>
      <c r="AV129" s="1"/>
      <c r="AW129" s="1"/>
      <c r="AX129" s="1"/>
      <c r="AY129" s="1"/>
      <c r="AZ129" s="1"/>
      <c r="BA129" s="1"/>
      <c r="BB129" s="1"/>
      <c r="BC129" s="1"/>
      <c r="BD129" s="1"/>
      <c r="BE129" s="1"/>
      <c r="BF129" s="1"/>
      <c r="BG129" s="1"/>
      <c r="BH129" s="1"/>
      <c r="BI129" s="1"/>
      <c r="BJ129" s="1"/>
      <c r="BK129" s="1"/>
      <c r="BL129" s="1"/>
      <c r="BM129" s="1"/>
      <c r="BN129" s="1"/>
      <c r="BO129" s="1"/>
      <c r="BP129" s="1"/>
      <c r="BQ129" s="1"/>
      <c r="BR129" s="1"/>
      <c r="BS129" s="1"/>
      <c r="BT129" s="1"/>
    </row>
    <row r="130" spans="1:72" ht="15.75" x14ac:dyDescent="0.25">
      <c r="A130" s="1"/>
      <c r="B130" s="1"/>
      <c r="C130" s="96"/>
      <c r="D130" s="1"/>
      <c r="E130" s="1"/>
      <c r="F130" s="1"/>
      <c r="G130" s="18"/>
      <c r="H130" s="4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20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  <c r="AV130" s="1"/>
      <c r="AW130" s="1"/>
      <c r="AX130" s="1"/>
      <c r="AY130" s="1"/>
      <c r="AZ130" s="1"/>
      <c r="BA130" s="1"/>
      <c r="BB130" s="1"/>
      <c r="BC130" s="1"/>
      <c r="BD130" s="1"/>
      <c r="BE130" s="1"/>
      <c r="BF130" s="1"/>
      <c r="BG130" s="1"/>
      <c r="BH130" s="1"/>
      <c r="BI130" s="1"/>
      <c r="BJ130" s="1"/>
      <c r="BK130" s="1"/>
      <c r="BL130" s="1"/>
      <c r="BM130" s="1"/>
      <c r="BN130" s="1"/>
      <c r="BO130" s="1"/>
      <c r="BP130" s="1"/>
      <c r="BQ130" s="1"/>
      <c r="BR130" s="1"/>
      <c r="BS130" s="1"/>
      <c r="BT130" s="1"/>
    </row>
    <row r="131" spans="1:72" ht="15.75" x14ac:dyDescent="0.25">
      <c r="A131" s="1"/>
      <c r="B131" s="1"/>
      <c r="C131" s="96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20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  <c r="AU131" s="1"/>
      <c r="AV131" s="1"/>
      <c r="AW131" s="1"/>
      <c r="AX131" s="1"/>
      <c r="AY131" s="1"/>
      <c r="AZ131" s="1"/>
      <c r="BA131" s="1"/>
      <c r="BB131" s="1"/>
      <c r="BC131" s="1"/>
      <c r="BD131" s="1"/>
      <c r="BE131" s="1"/>
      <c r="BF131" s="1"/>
      <c r="BG131" s="1"/>
      <c r="BH131" s="1"/>
      <c r="BI131" s="1"/>
      <c r="BJ131" s="1"/>
      <c r="BK131" s="1"/>
      <c r="BL131" s="1"/>
      <c r="BM131" s="1"/>
      <c r="BN131" s="1"/>
      <c r="BO131" s="1"/>
      <c r="BP131" s="1"/>
      <c r="BQ131" s="1"/>
      <c r="BR131" s="1"/>
      <c r="BS131" s="1"/>
      <c r="BT131" s="1"/>
    </row>
    <row r="132" spans="1:72" ht="15.75" x14ac:dyDescent="0.25">
      <c r="A132" s="1"/>
      <c r="B132" s="1"/>
      <c r="C132" s="96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20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  <c r="AV132" s="1"/>
      <c r="AW132" s="1"/>
      <c r="AX132" s="1"/>
      <c r="AY132" s="1"/>
      <c r="AZ132" s="1"/>
      <c r="BA132" s="1"/>
      <c r="BB132" s="1"/>
      <c r="BC132" s="1"/>
      <c r="BD132" s="1"/>
      <c r="BE132" s="1"/>
      <c r="BF132" s="1"/>
      <c r="BG132" s="1"/>
      <c r="BH132" s="1"/>
      <c r="BI132" s="1"/>
      <c r="BJ132" s="1"/>
      <c r="BK132" s="1"/>
      <c r="BL132" s="1"/>
      <c r="BM132" s="1"/>
      <c r="BN132" s="1"/>
      <c r="BO132" s="1"/>
      <c r="BP132" s="1"/>
      <c r="BQ132" s="1"/>
      <c r="BR132" s="1"/>
      <c r="BS132" s="1"/>
      <c r="BT132" s="1"/>
    </row>
    <row r="133" spans="1:72" ht="15.75" x14ac:dyDescent="0.25">
      <c r="A133" s="1"/>
      <c r="B133" s="1"/>
      <c r="C133" s="40"/>
      <c r="D133" s="96"/>
      <c r="E133" s="96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20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  <c r="AV133" s="1"/>
      <c r="AW133" s="1"/>
      <c r="AX133" s="1"/>
      <c r="AY133" s="1"/>
      <c r="AZ133" s="1"/>
      <c r="BA133" s="1"/>
      <c r="BB133" s="1"/>
      <c r="BC133" s="1"/>
      <c r="BD133" s="1"/>
      <c r="BE133" s="1"/>
      <c r="BF133" s="1"/>
      <c r="BG133" s="1"/>
      <c r="BH133" s="1"/>
      <c r="BI133" s="1"/>
      <c r="BJ133" s="1"/>
      <c r="BK133" s="1"/>
      <c r="BL133" s="1"/>
      <c r="BM133" s="1"/>
      <c r="BN133" s="1"/>
      <c r="BO133" s="1"/>
      <c r="BP133" s="1"/>
      <c r="BQ133" s="1"/>
      <c r="BR133" s="1"/>
      <c r="BS133" s="1"/>
      <c r="BT133" s="1"/>
    </row>
    <row r="134" spans="1:72" ht="15.75" x14ac:dyDescent="0.25">
      <c r="A134" s="1"/>
      <c r="B134" s="96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20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  <c r="AV134" s="1"/>
      <c r="AW134" s="1"/>
      <c r="AX134" s="1"/>
      <c r="AY134" s="1"/>
      <c r="AZ134" s="1"/>
      <c r="BA134" s="1"/>
      <c r="BB134" s="1"/>
      <c r="BC134" s="1"/>
      <c r="BD134" s="1"/>
      <c r="BE134" s="1"/>
      <c r="BF134" s="1"/>
      <c r="BG134" s="1"/>
      <c r="BH134" s="1"/>
      <c r="BI134" s="1"/>
      <c r="BJ134" s="1"/>
      <c r="BK134" s="1"/>
      <c r="BL134" s="1"/>
      <c r="BM134" s="1"/>
      <c r="BN134" s="1"/>
      <c r="BO134" s="1"/>
      <c r="BP134" s="1"/>
      <c r="BQ134" s="1"/>
      <c r="BR134" s="1"/>
      <c r="BS134" s="1"/>
      <c r="BT134" s="1"/>
    </row>
    <row r="135" spans="1:72" ht="15.75" x14ac:dyDescent="0.25">
      <c r="A135" s="1"/>
      <c r="B135" s="96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20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  <c r="AV135" s="1"/>
      <c r="AW135" s="1"/>
      <c r="AX135" s="1"/>
      <c r="AY135" s="1"/>
      <c r="AZ135" s="1"/>
      <c r="BA135" s="1"/>
      <c r="BB135" s="1"/>
      <c r="BC135" s="1"/>
      <c r="BD135" s="1"/>
      <c r="BE135" s="1"/>
      <c r="BF135" s="1"/>
      <c r="BG135" s="1"/>
      <c r="BH135" s="1"/>
      <c r="BI135" s="1"/>
      <c r="BJ135" s="1"/>
      <c r="BK135" s="1"/>
      <c r="BL135" s="1"/>
      <c r="BM135" s="1"/>
      <c r="BN135" s="1"/>
      <c r="BO135" s="1"/>
      <c r="BP135" s="1"/>
      <c r="BQ135" s="1"/>
      <c r="BR135" s="1"/>
      <c r="BS135" s="1"/>
      <c r="BT135" s="1"/>
    </row>
    <row r="136" spans="1:72" ht="15.75" x14ac:dyDescent="0.25">
      <c r="A136" s="1"/>
      <c r="B136" s="96"/>
      <c r="C136" s="96"/>
      <c r="D136" s="96"/>
      <c r="E136" s="96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20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  <c r="AV136" s="1"/>
      <c r="AW136" s="1"/>
      <c r="AX136" s="1"/>
      <c r="AY136" s="1"/>
      <c r="AZ136" s="1"/>
      <c r="BA136" s="1"/>
      <c r="BB136" s="1"/>
      <c r="BC136" s="1"/>
      <c r="BD136" s="1"/>
      <c r="BE136" s="1"/>
      <c r="BF136" s="1"/>
      <c r="BG136" s="1"/>
      <c r="BH136" s="1"/>
      <c r="BI136" s="1"/>
      <c r="BJ136" s="1"/>
      <c r="BK136" s="1"/>
      <c r="BL136" s="1"/>
      <c r="BM136" s="1"/>
      <c r="BN136" s="1"/>
      <c r="BO136" s="1"/>
      <c r="BP136" s="1"/>
      <c r="BQ136" s="1"/>
      <c r="BR136" s="1"/>
      <c r="BS136" s="1"/>
      <c r="BT136" s="1"/>
    </row>
    <row r="137" spans="1:72" ht="15.75" x14ac:dyDescent="0.25">
      <c r="A137" s="1"/>
      <c r="B137" s="1"/>
      <c r="C137" s="1"/>
      <c r="D137" s="1"/>
      <c r="E137" s="1"/>
      <c r="F137" s="96"/>
      <c r="G137" s="72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20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  <c r="AV137" s="1"/>
      <c r="AW137" s="1"/>
      <c r="AX137" s="1"/>
      <c r="AY137" s="1"/>
      <c r="AZ137" s="1"/>
      <c r="BA137" s="1"/>
      <c r="BB137" s="1"/>
      <c r="BC137" s="1"/>
      <c r="BD137" s="1"/>
      <c r="BE137" s="1"/>
      <c r="BF137" s="1"/>
      <c r="BG137" s="1"/>
      <c r="BH137" s="1"/>
      <c r="BI137" s="1"/>
      <c r="BJ137" s="1"/>
      <c r="BK137" s="1"/>
      <c r="BL137" s="1"/>
      <c r="BM137" s="1"/>
      <c r="BN137" s="1"/>
      <c r="BO137" s="1"/>
      <c r="BP137" s="1"/>
      <c r="BQ137" s="1"/>
      <c r="BR137" s="1"/>
      <c r="BS137" s="1"/>
      <c r="BT137" s="1"/>
    </row>
    <row r="138" spans="1:72" ht="15.75" x14ac:dyDescent="0.25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20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  <c r="AV138" s="1"/>
      <c r="AW138" s="1"/>
      <c r="AX138" s="1"/>
      <c r="AY138" s="1"/>
      <c r="AZ138" s="1"/>
      <c r="BA138" s="1"/>
      <c r="BB138" s="1"/>
      <c r="BC138" s="1"/>
      <c r="BD138" s="1"/>
      <c r="BE138" s="1"/>
      <c r="BF138" s="1"/>
      <c r="BG138" s="1"/>
      <c r="BH138" s="1"/>
      <c r="BI138" s="1"/>
      <c r="BJ138" s="1"/>
      <c r="BK138" s="1"/>
      <c r="BL138" s="1"/>
      <c r="BM138" s="1"/>
      <c r="BN138" s="1"/>
      <c r="BO138" s="1"/>
      <c r="BP138" s="1"/>
      <c r="BQ138" s="1"/>
      <c r="BR138" s="1"/>
      <c r="BS138" s="1"/>
      <c r="BT138" s="1"/>
    </row>
    <row r="139" spans="1:72" ht="15.75" x14ac:dyDescent="0.25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20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  <c r="AV139" s="1"/>
      <c r="AW139" s="1"/>
      <c r="AX139" s="1"/>
      <c r="AY139" s="1"/>
      <c r="AZ139" s="1"/>
      <c r="BA139" s="1"/>
      <c r="BB139" s="1"/>
      <c r="BC139" s="1"/>
      <c r="BD139" s="1"/>
      <c r="BE139" s="1"/>
      <c r="BF139" s="1"/>
      <c r="BG139" s="1"/>
      <c r="BH139" s="1"/>
      <c r="BI139" s="1"/>
      <c r="BJ139" s="1"/>
      <c r="BK139" s="1"/>
      <c r="BL139" s="1"/>
      <c r="BM139" s="1"/>
      <c r="BN139" s="1"/>
      <c r="BO139" s="1"/>
      <c r="BP139" s="1"/>
      <c r="BQ139" s="1"/>
      <c r="BR139" s="1"/>
      <c r="BS139" s="1"/>
      <c r="BT139" s="1"/>
    </row>
    <row r="140" spans="1:72" ht="15.75" x14ac:dyDescent="0.25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20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  <c r="AV140" s="1"/>
      <c r="AW140" s="1"/>
      <c r="AX140" s="1"/>
      <c r="AY140" s="1"/>
      <c r="AZ140" s="1"/>
      <c r="BA140" s="1"/>
      <c r="BB140" s="1"/>
      <c r="BC140" s="1"/>
      <c r="BD140" s="1"/>
      <c r="BE140" s="1"/>
      <c r="BF140" s="1"/>
      <c r="BG140" s="1"/>
      <c r="BH140" s="1"/>
      <c r="BI140" s="1"/>
      <c r="BJ140" s="1"/>
      <c r="BK140" s="1"/>
      <c r="BL140" s="1"/>
      <c r="BM140" s="1"/>
      <c r="BN140" s="1"/>
      <c r="BO140" s="1"/>
      <c r="BP140" s="1"/>
      <c r="BQ140" s="1"/>
      <c r="BR140" s="1"/>
      <c r="BS140" s="1"/>
      <c r="BT140" s="1"/>
    </row>
    <row r="141" spans="1:72" ht="15.75" x14ac:dyDescent="0.25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20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  <c r="AV141" s="1"/>
      <c r="AW141" s="1"/>
      <c r="AX141" s="1"/>
      <c r="AY141" s="1"/>
      <c r="AZ141" s="1"/>
      <c r="BA141" s="1"/>
      <c r="BB141" s="1"/>
      <c r="BC141" s="1"/>
      <c r="BD141" s="1"/>
      <c r="BE141" s="1"/>
      <c r="BF141" s="1"/>
      <c r="BG141" s="1"/>
      <c r="BH141" s="1"/>
      <c r="BI141" s="1"/>
      <c r="BJ141" s="1"/>
      <c r="BK141" s="1"/>
      <c r="BL141" s="1"/>
      <c r="BM141" s="1"/>
      <c r="BN141" s="1"/>
      <c r="BO141" s="1"/>
      <c r="BP141" s="1"/>
      <c r="BQ141" s="1"/>
      <c r="BR141" s="1"/>
      <c r="BS141" s="1"/>
      <c r="BT141" s="1"/>
    </row>
    <row r="142" spans="1:72" ht="15.75" x14ac:dyDescent="0.25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20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  <c r="AV142" s="1"/>
      <c r="AW142" s="1"/>
      <c r="AX142" s="1"/>
      <c r="AY142" s="1"/>
      <c r="AZ142" s="1"/>
      <c r="BA142" s="1"/>
      <c r="BB142" s="1"/>
      <c r="BC142" s="1"/>
      <c r="BD142" s="1"/>
      <c r="BE142" s="1"/>
      <c r="BF142" s="1"/>
      <c r="BG142" s="1"/>
      <c r="BH142" s="1"/>
      <c r="BI142" s="1"/>
      <c r="BJ142" s="1"/>
      <c r="BK142" s="1"/>
      <c r="BL142" s="1"/>
      <c r="BM142" s="1"/>
      <c r="BN142" s="1"/>
      <c r="BO142" s="1"/>
      <c r="BP142" s="1"/>
      <c r="BQ142" s="1"/>
      <c r="BR142" s="1"/>
      <c r="BS142" s="1"/>
      <c r="BT142" s="1"/>
    </row>
    <row r="143" spans="1:72" ht="15.75" x14ac:dyDescent="0.25">
      <c r="F143" s="1"/>
      <c r="G143" s="1"/>
      <c r="H143" s="1"/>
      <c r="I143" s="1"/>
      <c r="J143" s="1"/>
      <c r="K143" s="1"/>
      <c r="L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20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  <c r="AV143" s="1"/>
      <c r="AW143" s="1"/>
      <c r="AX143" s="1"/>
      <c r="AY143" s="1"/>
      <c r="AZ143" s="1"/>
      <c r="BA143" s="1"/>
      <c r="BB143" s="1"/>
      <c r="BC143" s="1"/>
      <c r="BD143" s="1"/>
      <c r="BE143" s="1"/>
      <c r="BF143" s="1"/>
      <c r="BG143" s="1"/>
      <c r="BH143" s="1"/>
      <c r="BI143" s="1"/>
      <c r="BJ143" s="1"/>
      <c r="BK143" s="1"/>
      <c r="BL143" s="1"/>
      <c r="BM143" s="1"/>
      <c r="BN143" s="1"/>
      <c r="BO143" s="1"/>
      <c r="BP143" s="1"/>
      <c r="BQ143" s="1"/>
      <c r="BR143" s="1"/>
      <c r="BS143" s="1"/>
      <c r="BT143" s="1"/>
    </row>
    <row r="144" spans="1:72" ht="15.75" x14ac:dyDescent="0.25"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20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  <c r="AV144" s="1"/>
      <c r="AW144" s="1"/>
      <c r="AX144" s="1"/>
      <c r="AY144" s="1"/>
      <c r="AZ144" s="1"/>
      <c r="BA144" s="1"/>
      <c r="BB144" s="1"/>
      <c r="BC144" s="1"/>
      <c r="BD144" s="1"/>
      <c r="BE144" s="1"/>
      <c r="BF144" s="1"/>
      <c r="BG144" s="1"/>
      <c r="BH144" s="1"/>
      <c r="BI144" s="1"/>
      <c r="BJ144" s="1"/>
      <c r="BK144" s="1"/>
      <c r="BL144" s="1"/>
      <c r="BM144" s="1"/>
      <c r="BN144" s="1"/>
      <c r="BO144" s="1"/>
      <c r="BP144" s="1"/>
      <c r="BQ144" s="1"/>
      <c r="BR144" s="1"/>
      <c r="BS144" s="1"/>
      <c r="BT144" s="1"/>
    </row>
  </sheetData>
  <mergeCells count="100">
    <mergeCell ref="J112:J113"/>
    <mergeCell ref="K112:K113"/>
    <mergeCell ref="N112:N113"/>
    <mergeCell ref="F113:G113"/>
    <mergeCell ref="A105:D105"/>
    <mergeCell ref="A106:D106"/>
    <mergeCell ref="A107:D107"/>
    <mergeCell ref="A108:D108"/>
    <mergeCell ref="A109:D109"/>
    <mergeCell ref="I112:I113"/>
    <mergeCell ref="A104:D104"/>
    <mergeCell ref="A93:D93"/>
    <mergeCell ref="A94:D94"/>
    <mergeCell ref="A95:D95"/>
    <mergeCell ref="A96:D96"/>
    <mergeCell ref="A97:D97"/>
    <mergeCell ref="A98:D98"/>
    <mergeCell ref="A99:D99"/>
    <mergeCell ref="A100:D100"/>
    <mergeCell ref="A101:D101"/>
    <mergeCell ref="A102:D102"/>
    <mergeCell ref="A103:D103"/>
    <mergeCell ref="A92:D92"/>
    <mergeCell ref="A76:D76"/>
    <mergeCell ref="A79:B79"/>
    <mergeCell ref="J79:K79"/>
    <mergeCell ref="A80:D80"/>
    <mergeCell ref="A81:D81"/>
    <mergeCell ref="A83:B83"/>
    <mergeCell ref="A84:D84"/>
    <mergeCell ref="A85:D85"/>
    <mergeCell ref="A89:D89"/>
    <mergeCell ref="A90:D90"/>
    <mergeCell ref="A91:D91"/>
    <mergeCell ref="A75:D75"/>
    <mergeCell ref="A62:D62"/>
    <mergeCell ref="A63:D63"/>
    <mergeCell ref="A64:D64"/>
    <mergeCell ref="A65:D65"/>
    <mergeCell ref="A66:D66"/>
    <mergeCell ref="A68:B68"/>
    <mergeCell ref="A69:D69"/>
    <mergeCell ref="A70:D70"/>
    <mergeCell ref="A71:D71"/>
    <mergeCell ref="A73:B73"/>
    <mergeCell ref="A74:D74"/>
    <mergeCell ref="A61:D61"/>
    <mergeCell ref="A46:D46"/>
    <mergeCell ref="A48:D48"/>
    <mergeCell ref="A49:D49"/>
    <mergeCell ref="A50:D50"/>
    <mergeCell ref="A51:D51"/>
    <mergeCell ref="A52:D52"/>
    <mergeCell ref="A53:D53"/>
    <mergeCell ref="A56:D56"/>
    <mergeCell ref="A58:D58"/>
    <mergeCell ref="A59:D59"/>
    <mergeCell ref="A60:D60"/>
    <mergeCell ref="V29:X29"/>
    <mergeCell ref="A30:D30"/>
    <mergeCell ref="A31:D31"/>
    <mergeCell ref="A32:D32"/>
    <mergeCell ref="A45:D45"/>
    <mergeCell ref="A34:D34"/>
    <mergeCell ref="A35:D35"/>
    <mergeCell ref="A36:D36"/>
    <mergeCell ref="A37:D37"/>
    <mergeCell ref="A38:D38"/>
    <mergeCell ref="A39:D39"/>
    <mergeCell ref="A40:D40"/>
    <mergeCell ref="A41:D41"/>
    <mergeCell ref="A42:D42"/>
    <mergeCell ref="A43:D43"/>
    <mergeCell ref="A44:D44"/>
    <mergeCell ref="A33:D33"/>
    <mergeCell ref="A22:D22"/>
    <mergeCell ref="L22:Q25"/>
    <mergeCell ref="A23:D23"/>
    <mergeCell ref="A24:D24"/>
    <mergeCell ref="A25:D25"/>
    <mergeCell ref="A26:D26"/>
    <mergeCell ref="O29:U29"/>
    <mergeCell ref="A21:D21"/>
    <mergeCell ref="A10:D10"/>
    <mergeCell ref="A11:D11"/>
    <mergeCell ref="A12:D12"/>
    <mergeCell ref="A13:D13"/>
    <mergeCell ref="A14:D14"/>
    <mergeCell ref="A15:D15"/>
    <mergeCell ref="A16:D16"/>
    <mergeCell ref="A17:D17"/>
    <mergeCell ref="A18:D18"/>
    <mergeCell ref="A19:D19"/>
    <mergeCell ref="A20:D20"/>
    <mergeCell ref="A9:D9"/>
    <mergeCell ref="A1:H1"/>
    <mergeCell ref="A2:H2"/>
    <mergeCell ref="B5:J5"/>
    <mergeCell ref="A8:D8"/>
    <mergeCell ref="J8:M8"/>
  </mergeCells>
  <pageMargins left="0.7" right="0.7" top="0.75" bottom="0.75" header="0.3" footer="0.3"/>
  <pageSetup paperSize="9" scale="23" fitToWidth="0" orientation="landscape" horizontalDpi="300" verticalDpi="300" r:id="rId1"/>
  <rowBreaks count="1" manualBreakCount="1">
    <brk id="123" max="16383" man="1"/>
  </rowBreak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T120"/>
  <sheetViews>
    <sheetView view="pageBreakPreview" topLeftCell="A57" zoomScale="70" zoomScaleNormal="70" zoomScaleSheetLayoutView="70" workbookViewId="0">
      <selection activeCell="F56" sqref="F56"/>
    </sheetView>
  </sheetViews>
  <sheetFormatPr baseColWidth="10" defaultRowHeight="15" x14ac:dyDescent="0.25"/>
  <cols>
    <col min="4" max="4" width="14.5703125" customWidth="1"/>
    <col min="8" max="8" width="15.42578125" customWidth="1"/>
    <col min="10" max="10" width="13" customWidth="1"/>
    <col min="11" max="12" width="13.42578125" customWidth="1"/>
    <col min="13" max="13" width="12.5703125" customWidth="1"/>
  </cols>
  <sheetData>
    <row r="1" spans="1:72" ht="18.75" x14ac:dyDescent="0.3">
      <c r="A1" s="223" t="s">
        <v>1</v>
      </c>
      <c r="B1" s="223"/>
      <c r="C1" s="223"/>
      <c r="D1" s="223"/>
      <c r="E1" s="223"/>
      <c r="F1" s="223"/>
      <c r="G1" s="223"/>
      <c r="H1" s="223"/>
      <c r="I1" s="38"/>
      <c r="J1" s="16"/>
      <c r="K1" s="16"/>
      <c r="L1" s="16"/>
      <c r="M1" s="16"/>
      <c r="N1" s="16"/>
      <c r="O1" s="16"/>
      <c r="P1" s="16"/>
      <c r="Q1" s="16"/>
      <c r="R1" s="16"/>
      <c r="S1" s="16"/>
      <c r="T1" s="16"/>
      <c r="U1" s="16"/>
      <c r="V1" s="16"/>
      <c r="W1" s="16"/>
      <c r="X1" s="16"/>
      <c r="Y1" s="1"/>
      <c r="Z1" s="120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</row>
    <row r="2" spans="1:72" ht="18.75" x14ac:dyDescent="0.3">
      <c r="A2" s="223" t="s">
        <v>2</v>
      </c>
      <c r="B2" s="223"/>
      <c r="C2" s="223"/>
      <c r="D2" s="223"/>
      <c r="E2" s="223"/>
      <c r="F2" s="223"/>
      <c r="G2" s="223"/>
      <c r="H2" s="223"/>
      <c r="I2" s="38"/>
      <c r="J2" s="16"/>
      <c r="K2" s="38"/>
      <c r="L2" s="38"/>
      <c r="M2" s="16"/>
      <c r="N2" s="16"/>
      <c r="O2" s="16"/>
      <c r="P2" s="16"/>
      <c r="Q2" s="16"/>
      <c r="R2" s="16"/>
      <c r="S2" s="16"/>
      <c r="T2" s="16"/>
      <c r="U2" s="16"/>
      <c r="V2" s="16"/>
      <c r="W2" s="16"/>
      <c r="X2" s="16"/>
      <c r="Y2" s="1"/>
      <c r="Z2" s="120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</row>
    <row r="3" spans="1:72" ht="15.75" x14ac:dyDescent="0.25">
      <c r="A3" s="2" t="s">
        <v>3</v>
      </c>
      <c r="B3" s="16"/>
      <c r="C3" s="2"/>
      <c r="D3" s="16"/>
      <c r="E3" s="16"/>
      <c r="F3" s="16"/>
      <c r="G3" s="16"/>
      <c r="H3" s="16"/>
      <c r="I3" s="16"/>
      <c r="J3" s="7"/>
      <c r="K3" s="38"/>
      <c r="L3" s="38"/>
      <c r="M3" s="16"/>
      <c r="N3" s="16"/>
      <c r="O3" s="16"/>
      <c r="P3" s="16"/>
      <c r="Q3" s="16"/>
      <c r="R3" s="16"/>
      <c r="S3" s="16"/>
      <c r="T3" s="16"/>
      <c r="U3" s="16"/>
      <c r="V3" s="16"/>
      <c r="W3" s="16"/>
      <c r="X3" s="16"/>
      <c r="Y3" s="1"/>
      <c r="Z3" s="120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</row>
    <row r="4" spans="1:72" ht="15.75" x14ac:dyDescent="0.25">
      <c r="A4" s="2" t="s">
        <v>4</v>
      </c>
      <c r="B4" s="16"/>
      <c r="C4" s="10"/>
      <c r="D4" s="16"/>
      <c r="E4" s="16"/>
      <c r="F4" s="16"/>
      <c r="G4" s="16"/>
      <c r="H4" s="16"/>
      <c r="I4" s="16"/>
      <c r="J4" s="7"/>
      <c r="K4" s="38"/>
      <c r="L4" s="38"/>
      <c r="M4" s="16"/>
      <c r="N4" s="16"/>
      <c r="O4" s="16"/>
      <c r="P4" s="16"/>
      <c r="Q4" s="16"/>
      <c r="R4" s="16"/>
      <c r="S4" s="16"/>
      <c r="T4" s="16"/>
      <c r="U4" s="16"/>
      <c r="V4" s="16"/>
      <c r="W4" s="16"/>
      <c r="X4" s="16"/>
      <c r="Y4" s="1"/>
      <c r="Z4" s="120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/>
      <c r="BP4" s="1"/>
      <c r="BQ4" s="1"/>
      <c r="BR4" s="1"/>
      <c r="BS4" s="1"/>
      <c r="BT4" s="1"/>
    </row>
    <row r="5" spans="1:72" ht="15.75" x14ac:dyDescent="0.25">
      <c r="A5" s="2" t="s">
        <v>5</v>
      </c>
      <c r="B5" s="224"/>
      <c r="C5" s="224"/>
      <c r="D5" s="224"/>
      <c r="E5" s="224"/>
      <c r="F5" s="224"/>
      <c r="G5" s="224"/>
      <c r="H5" s="224"/>
      <c r="I5" s="224"/>
      <c r="J5" s="224"/>
      <c r="K5" s="38"/>
      <c r="L5" s="38"/>
      <c r="M5" s="16"/>
      <c r="N5" s="16"/>
      <c r="O5" s="16"/>
      <c r="P5" s="16"/>
      <c r="Q5" s="16"/>
      <c r="R5" s="16"/>
      <c r="S5" s="16"/>
      <c r="T5" s="16"/>
      <c r="U5" s="16"/>
      <c r="V5" s="16"/>
      <c r="W5" s="16"/>
      <c r="X5" s="16"/>
      <c r="Y5" s="1"/>
      <c r="Z5" s="120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  <c r="BB5" s="1"/>
      <c r="BC5" s="1"/>
      <c r="BD5" s="1"/>
      <c r="BE5" s="1"/>
      <c r="BF5" s="1"/>
      <c r="BG5" s="1"/>
      <c r="BH5" s="1"/>
      <c r="BI5" s="1"/>
      <c r="BJ5" s="1"/>
      <c r="BK5" s="1"/>
      <c r="BL5" s="1"/>
      <c r="BM5" s="1"/>
      <c r="BN5" s="1"/>
      <c r="BO5" s="1"/>
      <c r="BP5" s="1"/>
      <c r="BQ5" s="1"/>
      <c r="BR5" s="1"/>
      <c r="BS5" s="1"/>
      <c r="BT5" s="1"/>
    </row>
    <row r="6" spans="1:72" ht="15.75" x14ac:dyDescent="0.25">
      <c r="A6" s="126" t="s">
        <v>132</v>
      </c>
      <c r="B6" s="126"/>
      <c r="C6" s="16"/>
      <c r="D6" s="16"/>
      <c r="E6" s="16"/>
      <c r="F6" s="16"/>
      <c r="G6" s="16"/>
      <c r="H6" s="16"/>
      <c r="I6" s="16"/>
      <c r="J6" s="7"/>
      <c r="K6" s="38"/>
      <c r="L6" s="38"/>
      <c r="M6" s="16"/>
      <c r="N6" s="16"/>
      <c r="O6" s="16"/>
      <c r="P6" s="16"/>
      <c r="Q6" s="16"/>
      <c r="R6" s="16"/>
      <c r="S6" s="16"/>
      <c r="T6" s="16"/>
      <c r="U6" s="16"/>
      <c r="V6" s="16"/>
      <c r="W6" s="16"/>
      <c r="X6" s="16"/>
      <c r="Y6" s="1"/>
      <c r="Z6" s="120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/>
      <c r="BT6" s="1"/>
    </row>
    <row r="7" spans="1:72" ht="15.75" x14ac:dyDescent="0.25">
      <c r="A7" s="3" t="s">
        <v>6</v>
      </c>
      <c r="B7" s="1"/>
      <c r="C7" s="16"/>
      <c r="D7" s="16"/>
      <c r="E7" s="16"/>
      <c r="F7" s="16"/>
      <c r="G7" s="16"/>
      <c r="H7" s="16"/>
      <c r="I7" s="16"/>
      <c r="J7" s="16"/>
      <c r="K7" s="16"/>
      <c r="L7" s="16"/>
      <c r="M7" s="16"/>
      <c r="N7" s="16"/>
      <c r="O7" s="16"/>
      <c r="P7" s="16"/>
      <c r="Q7" s="16"/>
      <c r="R7" s="16"/>
      <c r="S7" s="16"/>
      <c r="T7" s="16"/>
      <c r="U7" s="16"/>
      <c r="V7" s="16"/>
      <c r="W7" s="16"/>
      <c r="X7" s="16"/>
      <c r="Y7" s="1"/>
      <c r="Z7" s="120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  <c r="AY7" s="1"/>
      <c r="AZ7" s="1"/>
      <c r="BA7" s="1"/>
      <c r="BB7" s="1"/>
      <c r="BC7" s="1"/>
      <c r="BD7" s="1"/>
      <c r="BE7" s="1"/>
      <c r="BF7" s="1"/>
      <c r="BG7" s="1"/>
      <c r="BH7" s="1"/>
      <c r="BI7" s="1"/>
      <c r="BJ7" s="1"/>
      <c r="BK7" s="1"/>
      <c r="BL7" s="1"/>
      <c r="BM7" s="1"/>
      <c r="BN7" s="1"/>
      <c r="BO7" s="1"/>
      <c r="BP7" s="1"/>
      <c r="BQ7" s="1"/>
      <c r="BR7" s="1"/>
      <c r="BS7" s="1"/>
      <c r="BT7" s="1"/>
    </row>
    <row r="8" spans="1:72" ht="15.75" x14ac:dyDescent="0.25">
      <c r="A8" s="225" t="s">
        <v>7</v>
      </c>
      <c r="B8" s="225"/>
      <c r="C8" s="225"/>
      <c r="D8" s="225"/>
      <c r="E8" s="122" t="s">
        <v>8</v>
      </c>
      <c r="F8" s="122" t="s">
        <v>9</v>
      </c>
      <c r="G8" s="122" t="s">
        <v>10</v>
      </c>
      <c r="H8" s="122" t="s">
        <v>0</v>
      </c>
      <c r="I8" s="22"/>
      <c r="J8" s="263" t="s">
        <v>136</v>
      </c>
      <c r="K8" s="263"/>
      <c r="L8" s="263"/>
      <c r="M8" s="263"/>
      <c r="N8" s="16"/>
      <c r="O8" s="16"/>
      <c r="P8" s="16"/>
      <c r="Q8" s="16"/>
      <c r="R8" s="16"/>
      <c r="S8" s="16"/>
      <c r="T8" s="16"/>
      <c r="U8" s="16"/>
      <c r="V8" s="16"/>
      <c r="W8" s="16"/>
      <c r="X8" s="16"/>
      <c r="Y8" s="1"/>
      <c r="Z8" s="120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  <c r="AY8" s="1"/>
      <c r="AZ8" s="1"/>
      <c r="BA8" s="1"/>
      <c r="BB8" s="1"/>
      <c r="BC8" s="1"/>
      <c r="BD8" s="1"/>
      <c r="BE8" s="1"/>
      <c r="BF8" s="1"/>
      <c r="BG8" s="1"/>
      <c r="BH8" s="1"/>
      <c r="BI8" s="1"/>
      <c r="BJ8" s="1"/>
      <c r="BK8" s="1"/>
      <c r="BL8" s="1"/>
      <c r="BM8" s="1"/>
      <c r="BN8" s="1"/>
      <c r="BO8" s="1"/>
      <c r="BP8" s="1"/>
      <c r="BQ8" s="1"/>
      <c r="BR8" s="1"/>
      <c r="BS8" s="1"/>
      <c r="BT8" s="1"/>
    </row>
    <row r="9" spans="1:72" ht="15.75" x14ac:dyDescent="0.25">
      <c r="A9" s="226" t="s">
        <v>181</v>
      </c>
      <c r="B9" s="227"/>
      <c r="C9" s="227"/>
      <c r="D9" s="228"/>
      <c r="E9" s="4" t="s">
        <v>11</v>
      </c>
      <c r="F9" s="128"/>
      <c r="G9" s="129"/>
      <c r="H9" s="148">
        <f>G9*F9</f>
        <v>0</v>
      </c>
      <c r="I9" s="38"/>
      <c r="J9" s="16"/>
      <c r="K9" s="139"/>
      <c r="L9" s="139"/>
      <c r="M9" s="139"/>
      <c r="N9" s="139"/>
      <c r="O9" s="16"/>
      <c r="P9" s="16"/>
      <c r="Q9" s="16"/>
      <c r="R9" s="16"/>
      <c r="S9" s="16"/>
      <c r="T9" s="16"/>
      <c r="U9" s="16"/>
      <c r="V9" s="16"/>
      <c r="W9" s="16"/>
      <c r="X9" s="16"/>
      <c r="Y9" s="1"/>
      <c r="Z9" s="120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  <c r="AX9" s="1"/>
      <c r="AY9" s="1"/>
      <c r="AZ9" s="1"/>
      <c r="BA9" s="1"/>
      <c r="BB9" s="1"/>
      <c r="BC9" s="1"/>
      <c r="BD9" s="1"/>
      <c r="BE9" s="1"/>
      <c r="BF9" s="1"/>
      <c r="BG9" s="1"/>
      <c r="BH9" s="1"/>
      <c r="BI9" s="1"/>
      <c r="BJ9" s="1"/>
      <c r="BK9" s="1"/>
      <c r="BL9" s="1"/>
      <c r="BM9" s="1"/>
      <c r="BN9" s="1"/>
      <c r="BO9" s="1"/>
      <c r="BP9" s="1"/>
      <c r="BQ9" s="1"/>
      <c r="BR9" s="1"/>
      <c r="BS9" s="1"/>
      <c r="BT9" s="1"/>
    </row>
    <row r="10" spans="1:72" ht="15.75" x14ac:dyDescent="0.25">
      <c r="A10" s="270"/>
      <c r="B10" s="270"/>
      <c r="C10" s="270"/>
      <c r="D10" s="270"/>
      <c r="E10" s="4" t="s">
        <v>11</v>
      </c>
      <c r="F10" s="128"/>
      <c r="G10" s="129"/>
      <c r="H10" s="148">
        <f t="shared" ref="H10:H16" si="0">G10*F10</f>
        <v>0</v>
      </c>
      <c r="I10" s="134"/>
      <c r="J10" s="16"/>
      <c r="K10" s="139"/>
      <c r="L10" s="139"/>
      <c r="M10" s="139"/>
      <c r="N10" s="139"/>
      <c r="O10" s="16"/>
      <c r="P10" s="16"/>
      <c r="Q10" s="16"/>
      <c r="R10" s="16"/>
      <c r="S10" s="16"/>
      <c r="T10" s="16"/>
      <c r="U10" s="16"/>
      <c r="V10" s="16"/>
      <c r="W10" s="16"/>
      <c r="X10" s="16"/>
      <c r="Y10" s="1"/>
      <c r="Z10" s="120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  <c r="AY10" s="1"/>
      <c r="AZ10" s="1"/>
      <c r="BA10" s="1"/>
      <c r="BB10" s="1"/>
      <c r="BC10" s="1"/>
      <c r="BD10" s="1"/>
      <c r="BE10" s="1"/>
      <c r="BF10" s="1"/>
      <c r="BG10" s="1"/>
      <c r="BH10" s="1"/>
      <c r="BI10" s="1"/>
      <c r="BJ10" s="1"/>
      <c r="BK10" s="1"/>
      <c r="BL10" s="1"/>
      <c r="BM10" s="1"/>
      <c r="BN10" s="1"/>
      <c r="BO10" s="1"/>
      <c r="BP10" s="1"/>
      <c r="BQ10" s="1"/>
      <c r="BR10" s="1"/>
      <c r="BS10" s="1"/>
      <c r="BT10" s="1"/>
    </row>
    <row r="11" spans="1:72" ht="15.75" x14ac:dyDescent="0.25">
      <c r="A11" s="271"/>
      <c r="B11" s="272"/>
      <c r="C11" s="272"/>
      <c r="D11" s="273"/>
      <c r="E11" s="4" t="s">
        <v>11</v>
      </c>
      <c r="F11" s="128"/>
      <c r="G11" s="129"/>
      <c r="H11" s="148">
        <f t="shared" si="0"/>
        <v>0</v>
      </c>
      <c r="I11" s="134"/>
      <c r="J11" s="16"/>
      <c r="K11" s="139"/>
      <c r="L11" s="139"/>
      <c r="M11" s="139"/>
      <c r="N11" s="139"/>
      <c r="O11" s="16"/>
      <c r="P11" s="16"/>
      <c r="Q11" s="16"/>
      <c r="R11" s="16"/>
      <c r="S11" s="16"/>
      <c r="T11" s="16"/>
      <c r="U11" s="16"/>
      <c r="V11" s="16"/>
      <c r="W11" s="16"/>
      <c r="X11" s="16"/>
      <c r="Y11" s="1"/>
      <c r="Z11" s="120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  <c r="AY11" s="1"/>
      <c r="AZ11" s="1"/>
      <c r="BA11" s="1"/>
      <c r="BB11" s="1"/>
      <c r="BC11" s="1"/>
      <c r="BD11" s="1"/>
      <c r="BE11" s="1"/>
      <c r="BF11" s="1"/>
      <c r="BG11" s="1"/>
      <c r="BH11" s="1"/>
      <c r="BI11" s="1"/>
      <c r="BJ11" s="1"/>
      <c r="BK11" s="1"/>
      <c r="BL11" s="1"/>
      <c r="BM11" s="1"/>
      <c r="BN11" s="1"/>
      <c r="BO11" s="1"/>
      <c r="BP11" s="1"/>
      <c r="BQ11" s="1"/>
      <c r="BR11" s="1"/>
      <c r="BS11" s="1"/>
      <c r="BT11" s="1"/>
    </row>
    <row r="12" spans="1:72" ht="15.75" x14ac:dyDescent="0.25">
      <c r="A12" s="271"/>
      <c r="B12" s="272"/>
      <c r="C12" s="272"/>
      <c r="D12" s="273"/>
      <c r="E12" s="4" t="s">
        <v>11</v>
      </c>
      <c r="F12" s="128"/>
      <c r="G12" s="129"/>
      <c r="H12" s="148">
        <f t="shared" si="0"/>
        <v>0</v>
      </c>
      <c r="I12" s="134"/>
      <c r="J12" s="16"/>
      <c r="K12" s="139"/>
      <c r="L12" s="139"/>
      <c r="M12" s="139"/>
      <c r="N12" s="139"/>
      <c r="O12" s="16"/>
      <c r="P12" s="16"/>
      <c r="Q12" s="16"/>
      <c r="R12" s="16"/>
      <c r="S12" s="16"/>
      <c r="T12" s="16"/>
      <c r="U12" s="16"/>
      <c r="V12" s="16"/>
      <c r="W12" s="16"/>
      <c r="X12" s="16"/>
      <c r="Y12" s="1"/>
      <c r="Z12" s="120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  <c r="AY12" s="1"/>
      <c r="AZ12" s="1"/>
      <c r="BA12" s="1"/>
      <c r="BB12" s="1"/>
      <c r="BC12" s="1"/>
      <c r="BD12" s="1"/>
      <c r="BE12" s="1"/>
      <c r="BF12" s="1"/>
      <c r="BG12" s="1"/>
      <c r="BH12" s="1"/>
      <c r="BI12" s="1"/>
      <c r="BJ12" s="1"/>
      <c r="BK12" s="1"/>
      <c r="BL12" s="1"/>
      <c r="BM12" s="1"/>
      <c r="BN12" s="1"/>
      <c r="BO12" s="1"/>
      <c r="BP12" s="1"/>
      <c r="BQ12" s="1"/>
      <c r="BR12" s="1"/>
      <c r="BS12" s="1"/>
      <c r="BT12" s="1"/>
    </row>
    <row r="13" spans="1:72" ht="15.75" x14ac:dyDescent="0.25">
      <c r="A13" s="271"/>
      <c r="B13" s="272"/>
      <c r="C13" s="272"/>
      <c r="D13" s="273"/>
      <c r="E13" s="4" t="s">
        <v>11</v>
      </c>
      <c r="F13" s="128"/>
      <c r="G13" s="129"/>
      <c r="H13" s="148">
        <f t="shared" si="0"/>
        <v>0</v>
      </c>
      <c r="I13" s="134"/>
      <c r="J13" s="16"/>
      <c r="K13" s="139"/>
      <c r="L13" s="139"/>
      <c r="M13" s="139"/>
      <c r="N13" s="139"/>
      <c r="O13" s="16"/>
      <c r="P13" s="16"/>
      <c r="Q13" s="16"/>
      <c r="R13" s="16"/>
      <c r="S13" s="16"/>
      <c r="T13" s="16"/>
      <c r="U13" s="16"/>
      <c r="V13" s="16"/>
      <c r="W13" s="16"/>
      <c r="X13" s="16"/>
      <c r="Y13" s="1"/>
      <c r="Z13" s="120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  <c r="AY13" s="1"/>
      <c r="AZ13" s="1"/>
      <c r="BA13" s="1"/>
      <c r="BB13" s="1"/>
      <c r="BC13" s="1"/>
      <c r="BD13" s="1"/>
      <c r="BE13" s="1"/>
      <c r="BF13" s="1"/>
      <c r="BG13" s="1"/>
      <c r="BH13" s="1"/>
      <c r="BI13" s="1"/>
      <c r="BJ13" s="1"/>
      <c r="BK13" s="1"/>
      <c r="BL13" s="1"/>
      <c r="BM13" s="1"/>
      <c r="BN13" s="1"/>
      <c r="BO13" s="1"/>
      <c r="BP13" s="1"/>
      <c r="BQ13" s="1"/>
      <c r="BR13" s="1"/>
      <c r="BS13" s="1"/>
      <c r="BT13" s="1"/>
    </row>
    <row r="14" spans="1:72" ht="15.75" x14ac:dyDescent="0.25">
      <c r="A14" s="271"/>
      <c r="B14" s="272"/>
      <c r="C14" s="272"/>
      <c r="D14" s="273"/>
      <c r="E14" s="4" t="s">
        <v>11</v>
      </c>
      <c r="F14" s="128"/>
      <c r="G14" s="129"/>
      <c r="H14" s="148">
        <f t="shared" si="0"/>
        <v>0</v>
      </c>
      <c r="I14" s="134"/>
      <c r="J14" s="16"/>
      <c r="K14" s="139"/>
      <c r="L14" s="139"/>
      <c r="M14" s="139"/>
      <c r="N14" s="139"/>
      <c r="O14" s="16"/>
      <c r="P14" s="16"/>
      <c r="Q14" s="16"/>
      <c r="R14" s="16"/>
      <c r="S14" s="16"/>
      <c r="T14" s="16"/>
      <c r="U14" s="16"/>
      <c r="V14" s="16"/>
      <c r="W14" s="16"/>
      <c r="X14" s="16"/>
      <c r="Y14" s="1"/>
      <c r="Z14" s="120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  <c r="AX14" s="1"/>
      <c r="AY14" s="1"/>
      <c r="AZ14" s="1"/>
      <c r="BA14" s="1"/>
      <c r="BB14" s="1"/>
      <c r="BC14" s="1"/>
      <c r="BD14" s="1"/>
      <c r="BE14" s="1"/>
      <c r="BF14" s="1"/>
      <c r="BG14" s="1"/>
      <c r="BH14" s="1"/>
      <c r="BI14" s="1"/>
      <c r="BJ14" s="1"/>
      <c r="BK14" s="1"/>
      <c r="BL14" s="1"/>
      <c r="BM14" s="1"/>
      <c r="BN14" s="1"/>
      <c r="BO14" s="1"/>
      <c r="BP14" s="1"/>
      <c r="BQ14" s="1"/>
      <c r="BR14" s="1"/>
      <c r="BS14" s="1"/>
      <c r="BT14" s="1"/>
    </row>
    <row r="15" spans="1:72" ht="15.75" x14ac:dyDescent="0.25">
      <c r="A15" s="271"/>
      <c r="B15" s="272"/>
      <c r="C15" s="272"/>
      <c r="D15" s="273"/>
      <c r="E15" s="4" t="s">
        <v>11</v>
      </c>
      <c r="F15" s="128"/>
      <c r="G15" s="129"/>
      <c r="H15" s="148">
        <f t="shared" si="0"/>
        <v>0</v>
      </c>
      <c r="I15" s="134"/>
      <c r="J15" s="16"/>
      <c r="K15" s="139"/>
      <c r="L15" s="139"/>
      <c r="M15" s="139"/>
      <c r="N15" s="139"/>
      <c r="O15" s="16"/>
      <c r="P15" s="16"/>
      <c r="Q15" s="16"/>
      <c r="R15" s="16"/>
      <c r="S15" s="16"/>
      <c r="T15" s="16"/>
      <c r="U15" s="16"/>
      <c r="V15" s="16"/>
      <c r="W15" s="16"/>
      <c r="X15" s="16"/>
      <c r="Y15" s="1"/>
      <c r="Z15" s="120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  <c r="AX15" s="1"/>
      <c r="AY15" s="1"/>
      <c r="AZ15" s="1"/>
      <c r="BA15" s="1"/>
      <c r="BB15" s="1"/>
      <c r="BC15" s="1"/>
      <c r="BD15" s="1"/>
      <c r="BE15" s="1"/>
      <c r="BF15" s="1"/>
      <c r="BG15" s="1"/>
      <c r="BH15" s="1"/>
      <c r="BI15" s="1"/>
      <c r="BJ15" s="1"/>
      <c r="BK15" s="1"/>
      <c r="BL15" s="1"/>
      <c r="BM15" s="1"/>
      <c r="BN15" s="1"/>
      <c r="BO15" s="1"/>
      <c r="BP15" s="1"/>
      <c r="BQ15" s="1"/>
      <c r="BR15" s="1"/>
      <c r="BS15" s="1"/>
      <c r="BT15" s="1"/>
    </row>
    <row r="16" spans="1:72" ht="15.75" x14ac:dyDescent="0.25">
      <c r="A16" s="220"/>
      <c r="B16" s="221"/>
      <c r="C16" s="221"/>
      <c r="D16" s="222"/>
      <c r="E16" s="4" t="s">
        <v>11</v>
      </c>
      <c r="F16" s="128"/>
      <c r="G16" s="129"/>
      <c r="H16" s="148">
        <f t="shared" si="0"/>
        <v>0</v>
      </c>
      <c r="I16" s="134">
        <f>H16*1.455</f>
        <v>0</v>
      </c>
      <c r="J16" s="16"/>
      <c r="K16" s="139"/>
      <c r="L16" s="139"/>
      <c r="M16" s="139"/>
      <c r="N16" s="139"/>
      <c r="O16" s="16"/>
      <c r="P16" s="16"/>
      <c r="Q16" s="16"/>
      <c r="R16" s="16"/>
      <c r="S16" s="16"/>
      <c r="T16" s="16"/>
      <c r="U16" s="16"/>
      <c r="V16" s="16"/>
      <c r="W16" s="16"/>
      <c r="X16" s="16"/>
      <c r="Y16" s="1"/>
      <c r="Z16" s="120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  <c r="AX16" s="1"/>
      <c r="AY16" s="1"/>
      <c r="AZ16" s="1"/>
      <c r="BA16" s="1"/>
      <c r="BB16" s="1"/>
      <c r="BC16" s="1"/>
      <c r="BD16" s="1"/>
      <c r="BE16" s="1"/>
      <c r="BF16" s="1"/>
      <c r="BG16" s="1"/>
      <c r="BH16" s="1"/>
      <c r="BI16" s="1"/>
      <c r="BJ16" s="1"/>
      <c r="BK16" s="1"/>
      <c r="BL16" s="1"/>
      <c r="BM16" s="1"/>
      <c r="BN16" s="1"/>
      <c r="BO16" s="1"/>
      <c r="BP16" s="1"/>
      <c r="BQ16" s="1"/>
      <c r="BR16" s="1"/>
      <c r="BS16" s="1"/>
      <c r="BT16" s="1"/>
    </row>
    <row r="17" spans="1:72" ht="15.75" x14ac:dyDescent="0.25">
      <c r="A17" s="16"/>
      <c r="B17" s="16"/>
      <c r="C17" s="16"/>
      <c r="D17" s="16"/>
      <c r="E17" s="16"/>
      <c r="F17" s="16"/>
      <c r="G17" s="6" t="s">
        <v>12</v>
      </c>
      <c r="H17" s="6">
        <f>SUM(H9:H16)</f>
        <v>0</v>
      </c>
      <c r="I17" s="134"/>
      <c r="J17" s="2"/>
      <c r="K17" s="139"/>
      <c r="L17" s="139"/>
      <c r="M17" s="143"/>
      <c r="N17" s="139"/>
      <c r="O17" s="16"/>
      <c r="P17" s="16"/>
      <c r="Q17" s="16"/>
      <c r="R17" s="16"/>
      <c r="S17" s="16"/>
      <c r="T17" s="16"/>
      <c r="U17" s="16"/>
      <c r="V17" s="16"/>
      <c r="W17" s="16"/>
      <c r="X17" s="16"/>
      <c r="Y17" s="1"/>
      <c r="Z17" s="120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  <c r="AX17" s="1"/>
      <c r="AY17" s="1"/>
      <c r="AZ17" s="1"/>
      <c r="BA17" s="1"/>
      <c r="BB17" s="1"/>
      <c r="BC17" s="1"/>
      <c r="BD17" s="1"/>
      <c r="BE17" s="1"/>
      <c r="BF17" s="1"/>
      <c r="BG17" s="1"/>
      <c r="BH17" s="1"/>
      <c r="BI17" s="1"/>
      <c r="BJ17" s="1"/>
      <c r="BK17" s="1"/>
      <c r="BL17" s="1"/>
      <c r="BM17" s="1"/>
      <c r="BN17" s="1"/>
      <c r="BO17" s="1"/>
      <c r="BP17" s="1"/>
      <c r="BQ17" s="1"/>
      <c r="BR17" s="1"/>
      <c r="BS17" s="1"/>
      <c r="BT17" s="1"/>
    </row>
    <row r="18" spans="1:72" ht="15.75" x14ac:dyDescent="0.25">
      <c r="A18" s="27"/>
      <c r="B18" s="16"/>
      <c r="C18" s="16"/>
      <c r="D18" s="16"/>
      <c r="E18" s="16"/>
      <c r="F18" s="16"/>
      <c r="G18" s="16"/>
      <c r="H18" s="30"/>
      <c r="I18" s="30"/>
      <c r="J18" s="144"/>
      <c r="K18" s="144"/>
      <c r="L18" s="16"/>
      <c r="M18" s="3"/>
      <c r="N18" s="16"/>
      <c r="O18" s="16"/>
      <c r="P18" s="16"/>
      <c r="Q18" s="16"/>
      <c r="R18" s="16"/>
      <c r="S18" s="16"/>
      <c r="T18" s="16"/>
      <c r="U18" s="16"/>
      <c r="V18" s="16"/>
      <c r="W18" s="16"/>
      <c r="X18" s="16"/>
      <c r="Y18" s="1"/>
      <c r="Z18" s="120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/>
      <c r="AY18" s="1"/>
      <c r="AZ18" s="1"/>
      <c r="BA18" s="1"/>
      <c r="BB18" s="1"/>
      <c r="BC18" s="1"/>
      <c r="BD18" s="1"/>
      <c r="BE18" s="1"/>
      <c r="BF18" s="1"/>
      <c r="BG18" s="1"/>
      <c r="BH18" s="1"/>
      <c r="BI18" s="1"/>
      <c r="BJ18" s="1"/>
      <c r="BK18" s="1"/>
      <c r="BL18" s="1"/>
      <c r="BM18" s="1"/>
      <c r="BN18" s="1"/>
      <c r="BO18" s="1"/>
      <c r="BP18" s="1"/>
      <c r="BQ18" s="1"/>
      <c r="BR18" s="1"/>
      <c r="BS18" s="1"/>
      <c r="BT18" s="1"/>
    </row>
    <row r="19" spans="1:72" ht="15.75" x14ac:dyDescent="0.25">
      <c r="A19" s="3" t="s">
        <v>13</v>
      </c>
      <c r="B19" s="7"/>
      <c r="C19" s="7"/>
      <c r="D19" s="7"/>
      <c r="E19" s="7"/>
      <c r="F19" s="7"/>
      <c r="G19" s="8"/>
      <c r="H19" s="9"/>
      <c r="I19" s="9"/>
      <c r="J19" s="10"/>
      <c r="K19" s="7"/>
      <c r="L19" s="7"/>
      <c r="M19" s="7"/>
      <c r="N19" s="7"/>
      <c r="O19" s="267" t="s">
        <v>14</v>
      </c>
      <c r="P19" s="268"/>
      <c r="Q19" s="268"/>
      <c r="R19" s="268"/>
      <c r="S19" s="268"/>
      <c r="T19" s="268"/>
      <c r="U19" s="269"/>
      <c r="V19" s="229" t="s">
        <v>15</v>
      </c>
      <c r="W19" s="229"/>
      <c r="X19" s="230"/>
      <c r="Y19" s="1" t="s">
        <v>157</v>
      </c>
      <c r="Z19" s="120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  <c r="AX19" s="1"/>
      <c r="AY19" s="1"/>
      <c r="AZ19" s="1"/>
      <c r="BA19" s="1"/>
      <c r="BB19" s="1"/>
      <c r="BC19" s="1"/>
      <c r="BD19" s="1"/>
      <c r="BE19" s="1"/>
      <c r="BF19" s="1"/>
      <c r="BG19" s="1"/>
      <c r="BH19" s="1"/>
      <c r="BI19" s="1"/>
      <c r="BJ19" s="1"/>
      <c r="BK19" s="1"/>
      <c r="BL19" s="1"/>
      <c r="BM19" s="1"/>
      <c r="BN19" s="1"/>
      <c r="BO19" s="1"/>
      <c r="BP19" s="1"/>
      <c r="BQ19" s="1"/>
      <c r="BR19" s="1"/>
      <c r="BS19" s="1"/>
      <c r="BT19" s="1"/>
    </row>
    <row r="20" spans="1:72" ht="31.5" x14ac:dyDescent="0.25">
      <c r="A20" s="231" t="s">
        <v>16</v>
      </c>
      <c r="B20" s="231"/>
      <c r="C20" s="231"/>
      <c r="D20" s="231"/>
      <c r="E20" s="121" t="s">
        <v>8</v>
      </c>
      <c r="F20" s="121" t="s">
        <v>9</v>
      </c>
      <c r="G20" s="121" t="s">
        <v>159</v>
      </c>
      <c r="H20" s="121" t="s">
        <v>0</v>
      </c>
      <c r="I20" s="121" t="s">
        <v>9</v>
      </c>
      <c r="J20" s="121" t="s">
        <v>17</v>
      </c>
      <c r="K20" s="121" t="s">
        <v>0</v>
      </c>
      <c r="L20" s="121" t="s">
        <v>9</v>
      </c>
      <c r="M20" s="11" t="s">
        <v>160</v>
      </c>
      <c r="N20" s="121" t="s">
        <v>0</v>
      </c>
      <c r="O20" s="121" t="s">
        <v>18</v>
      </c>
      <c r="P20" s="121" t="s">
        <v>19</v>
      </c>
      <c r="Q20" s="121" t="s">
        <v>20</v>
      </c>
      <c r="R20" s="121" t="s">
        <v>21</v>
      </c>
      <c r="S20" s="121" t="s">
        <v>22</v>
      </c>
      <c r="T20" s="121" t="s">
        <v>23</v>
      </c>
      <c r="U20" s="121" t="s">
        <v>24</v>
      </c>
      <c r="V20" s="11" t="s">
        <v>25</v>
      </c>
      <c r="W20" s="11" t="s">
        <v>24</v>
      </c>
      <c r="X20" s="11" t="s">
        <v>26</v>
      </c>
      <c r="Y20" s="1"/>
      <c r="Z20" s="120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  <c r="AX20" s="1"/>
      <c r="AY20" s="1"/>
      <c r="AZ20" s="1"/>
      <c r="BA20" s="1"/>
      <c r="BB20" s="1"/>
      <c r="BC20" s="1"/>
      <c r="BD20" s="1"/>
      <c r="BE20" s="1"/>
      <c r="BF20" s="1"/>
      <c r="BG20" s="1"/>
      <c r="BH20" s="1"/>
      <c r="BI20" s="1"/>
      <c r="BJ20" s="1"/>
      <c r="BK20" s="1"/>
      <c r="BL20" s="1"/>
      <c r="BM20" s="1"/>
      <c r="BN20" s="1"/>
      <c r="BO20" s="1"/>
      <c r="BP20" s="1"/>
      <c r="BQ20" s="1"/>
      <c r="BR20" s="1"/>
      <c r="BS20" s="1"/>
      <c r="BT20" s="1"/>
    </row>
    <row r="21" spans="1:72" ht="15.75" x14ac:dyDescent="0.25">
      <c r="A21" s="232" t="s">
        <v>30</v>
      </c>
      <c r="B21" s="233"/>
      <c r="C21" s="233"/>
      <c r="D21" s="234"/>
      <c r="E21" s="124" t="s">
        <v>28</v>
      </c>
      <c r="F21" s="128"/>
      <c r="G21" s="12">
        <v>390.39</v>
      </c>
      <c r="H21" s="12">
        <f t="shared" ref="H21:H35" si="1">F21*G21</f>
        <v>0</v>
      </c>
      <c r="I21" s="128"/>
      <c r="J21" s="13">
        <v>358.81</v>
      </c>
      <c r="K21" s="13">
        <f t="shared" ref="K21:K43" si="2">I21*J21</f>
        <v>0</v>
      </c>
      <c r="L21" s="129"/>
      <c r="M21" s="13">
        <v>538.27</v>
      </c>
      <c r="N21" s="13">
        <f t="shared" ref="N21:N43" si="3">L21*M21</f>
        <v>0</v>
      </c>
      <c r="O21" s="107"/>
      <c r="P21" s="107"/>
      <c r="Q21" s="107"/>
      <c r="R21" s="107"/>
      <c r="S21" s="107"/>
      <c r="T21" s="107"/>
      <c r="U21" s="107"/>
      <c r="V21" s="15">
        <f t="shared" ref="V21:V43" si="4">+O21+P21+Q21+R21+S21+T21+U21-W21-X21</f>
        <v>0</v>
      </c>
      <c r="W21" s="107"/>
      <c r="X21" s="107"/>
      <c r="Y21" s="16"/>
      <c r="Z21" s="17"/>
      <c r="AA21" s="16"/>
      <c r="AB21" s="16"/>
      <c r="AC21" s="16"/>
      <c r="AD21" s="16"/>
      <c r="AE21" s="16"/>
      <c r="AF21" s="16"/>
      <c r="AG21" s="16"/>
      <c r="AH21" s="16"/>
      <c r="AI21" s="16"/>
      <c r="AJ21" s="16"/>
      <c r="AK21" s="16"/>
      <c r="AL21" s="16"/>
      <c r="AM21" s="16"/>
      <c r="AN21" s="16"/>
      <c r="AO21" s="16"/>
      <c r="AP21" s="16"/>
      <c r="AQ21" s="16"/>
      <c r="AR21" s="16"/>
      <c r="AS21" s="16"/>
      <c r="AT21" s="16"/>
      <c r="AU21" s="16"/>
      <c r="AV21" s="16"/>
      <c r="AW21" s="16"/>
      <c r="AX21" s="16"/>
      <c r="AY21" s="16"/>
      <c r="AZ21" s="16"/>
      <c r="BA21" s="16"/>
      <c r="BB21" s="16"/>
      <c r="BC21" s="16"/>
      <c r="BD21" s="16"/>
      <c r="BE21" s="16"/>
      <c r="BF21" s="16"/>
      <c r="BG21" s="16"/>
      <c r="BH21" s="16"/>
      <c r="BI21" s="16"/>
      <c r="BJ21" s="16"/>
      <c r="BK21" s="16"/>
      <c r="BL21" s="16"/>
      <c r="BM21" s="16"/>
      <c r="BN21" s="16"/>
      <c r="BO21" s="16"/>
      <c r="BP21" s="16"/>
      <c r="BQ21" s="16"/>
      <c r="BR21" s="16"/>
      <c r="BS21" s="16"/>
      <c r="BT21" s="16"/>
    </row>
    <row r="22" spans="1:72" ht="15.75" x14ac:dyDescent="0.25">
      <c r="A22" s="235" t="s">
        <v>163</v>
      </c>
      <c r="B22" s="235"/>
      <c r="C22" s="235"/>
      <c r="D22" s="235"/>
      <c r="E22" s="124" t="s">
        <v>28</v>
      </c>
      <c r="F22" s="128"/>
      <c r="G22" s="12">
        <v>317.98</v>
      </c>
      <c r="H22" s="12">
        <f t="shared" si="1"/>
        <v>0</v>
      </c>
      <c r="I22" s="128"/>
      <c r="J22" s="13">
        <v>326.25</v>
      </c>
      <c r="K22" s="13">
        <f t="shared" si="2"/>
        <v>0</v>
      </c>
      <c r="L22" s="129"/>
      <c r="M22" s="13">
        <v>489.37</v>
      </c>
      <c r="N22" s="13">
        <f t="shared" si="3"/>
        <v>0</v>
      </c>
      <c r="O22" s="107"/>
      <c r="P22" s="107"/>
      <c r="Q22" s="107"/>
      <c r="R22" s="107"/>
      <c r="S22" s="107"/>
      <c r="T22" s="107"/>
      <c r="U22" s="107"/>
      <c r="V22" s="15">
        <f t="shared" si="4"/>
        <v>0</v>
      </c>
      <c r="W22" s="107"/>
      <c r="X22" s="107"/>
      <c r="Y22" s="16" t="s">
        <v>168</v>
      </c>
      <c r="Z22" s="17"/>
      <c r="AA22" s="16"/>
      <c r="AB22" s="16"/>
      <c r="AC22" s="16"/>
      <c r="AD22" s="16"/>
      <c r="AE22" s="16"/>
      <c r="AF22" s="16"/>
      <c r="AG22" s="16"/>
      <c r="AH22" s="16"/>
      <c r="AI22" s="16"/>
      <c r="AJ22" s="16"/>
      <c r="AK22" s="16"/>
      <c r="AL22" s="16"/>
      <c r="AM22" s="16"/>
      <c r="AN22" s="16"/>
      <c r="AO22" s="16"/>
      <c r="AP22" s="16"/>
      <c r="AQ22" s="16"/>
      <c r="AR22" s="16"/>
      <c r="AS22" s="16"/>
      <c r="AT22" s="16"/>
      <c r="AU22" s="16"/>
      <c r="AV22" s="16"/>
      <c r="AW22" s="16"/>
      <c r="AX22" s="16"/>
      <c r="AY22" s="16"/>
      <c r="AZ22" s="16"/>
      <c r="BA22" s="16"/>
      <c r="BB22" s="16"/>
      <c r="BC22" s="16"/>
      <c r="BD22" s="16"/>
      <c r="BE22" s="16"/>
      <c r="BF22" s="16"/>
      <c r="BG22" s="16"/>
      <c r="BH22" s="16"/>
      <c r="BI22" s="16"/>
      <c r="BJ22" s="16"/>
      <c r="BK22" s="16"/>
      <c r="BL22" s="16"/>
      <c r="BM22" s="16"/>
      <c r="BN22" s="16"/>
      <c r="BO22" s="16"/>
      <c r="BP22" s="16"/>
      <c r="BQ22" s="16"/>
      <c r="BR22" s="16"/>
      <c r="BS22" s="16"/>
      <c r="BT22" s="16"/>
    </row>
    <row r="23" spans="1:72" s="102" customFormat="1" ht="15.75" x14ac:dyDescent="0.25">
      <c r="A23" s="232" t="s">
        <v>31</v>
      </c>
      <c r="B23" s="233"/>
      <c r="C23" s="233"/>
      <c r="D23" s="234"/>
      <c r="E23" s="124" t="s">
        <v>28</v>
      </c>
      <c r="F23" s="128"/>
      <c r="G23" s="14">
        <v>390.39</v>
      </c>
      <c r="H23" s="12">
        <f t="shared" si="1"/>
        <v>0</v>
      </c>
      <c r="I23" s="128"/>
      <c r="J23" s="13">
        <v>358.81</v>
      </c>
      <c r="K23" s="13">
        <f t="shared" si="2"/>
        <v>0</v>
      </c>
      <c r="L23" s="129"/>
      <c r="M23" s="13">
        <v>538.22</v>
      </c>
      <c r="N23" s="13">
        <f t="shared" si="3"/>
        <v>0</v>
      </c>
      <c r="O23" s="107"/>
      <c r="P23" s="107"/>
      <c r="Q23" s="107"/>
      <c r="R23" s="107"/>
      <c r="S23" s="107"/>
      <c r="T23" s="107"/>
      <c r="U23" s="107"/>
      <c r="V23" s="15">
        <f t="shared" si="4"/>
        <v>0</v>
      </c>
      <c r="W23" s="107"/>
      <c r="X23" s="107"/>
      <c r="Y23" s="7" t="s">
        <v>161</v>
      </c>
      <c r="Z23" s="101"/>
      <c r="AA23" s="7"/>
      <c r="AB23" s="7"/>
      <c r="AC23" s="7"/>
      <c r="AD23" s="7"/>
      <c r="AE23" s="7"/>
      <c r="AF23" s="7"/>
      <c r="AG23" s="7"/>
      <c r="AH23" s="7"/>
      <c r="AI23" s="7"/>
      <c r="AJ23" s="7"/>
      <c r="AK23" s="7"/>
      <c r="AL23" s="7"/>
      <c r="AM23" s="7"/>
      <c r="AN23" s="7"/>
      <c r="AO23" s="7"/>
      <c r="AP23" s="7"/>
      <c r="AQ23" s="7"/>
      <c r="AR23" s="7"/>
      <c r="AS23" s="7"/>
      <c r="AT23" s="7"/>
      <c r="AU23" s="7"/>
      <c r="AV23" s="7"/>
      <c r="AW23" s="7"/>
      <c r="AX23" s="7"/>
      <c r="AY23" s="7"/>
      <c r="AZ23" s="7"/>
      <c r="BA23" s="7"/>
      <c r="BB23" s="7"/>
      <c r="BC23" s="7"/>
      <c r="BD23" s="7"/>
      <c r="BE23" s="7"/>
      <c r="BF23" s="7"/>
      <c r="BG23" s="7"/>
      <c r="BH23" s="7"/>
      <c r="BI23" s="7"/>
      <c r="BJ23" s="7"/>
      <c r="BK23" s="7"/>
      <c r="BL23" s="7"/>
      <c r="BM23" s="7"/>
      <c r="BN23" s="7"/>
      <c r="BO23" s="7"/>
      <c r="BP23" s="7"/>
      <c r="BQ23" s="7"/>
      <c r="BR23" s="7"/>
      <c r="BS23" s="7"/>
      <c r="BT23" s="7"/>
    </row>
    <row r="24" spans="1:72" s="106" customFormat="1" ht="15.75" x14ac:dyDescent="0.25">
      <c r="A24" s="232" t="s">
        <v>32</v>
      </c>
      <c r="B24" s="233"/>
      <c r="C24" s="233"/>
      <c r="D24" s="234"/>
      <c r="E24" s="124" t="s">
        <v>28</v>
      </c>
      <c r="F24" s="128"/>
      <c r="G24" s="14">
        <v>317.98</v>
      </c>
      <c r="H24" s="12">
        <f t="shared" si="1"/>
        <v>0</v>
      </c>
      <c r="I24" s="128"/>
      <c r="J24" s="13">
        <v>326.25</v>
      </c>
      <c r="K24" s="13">
        <f t="shared" si="2"/>
        <v>0</v>
      </c>
      <c r="L24" s="129"/>
      <c r="M24" s="13">
        <v>489.37</v>
      </c>
      <c r="N24" s="13">
        <f t="shared" si="3"/>
        <v>0</v>
      </c>
      <c r="O24" s="107"/>
      <c r="P24" s="107"/>
      <c r="Q24" s="107"/>
      <c r="R24" s="107"/>
      <c r="S24" s="107"/>
      <c r="T24" s="107"/>
      <c r="U24" s="107"/>
      <c r="V24" s="15">
        <f t="shared" si="4"/>
        <v>0</v>
      </c>
      <c r="W24" s="107"/>
      <c r="X24" s="107"/>
      <c r="Y24" s="104" t="s">
        <v>162</v>
      </c>
      <c r="Z24" s="105"/>
      <c r="AA24" s="104"/>
      <c r="AB24" s="104"/>
      <c r="AC24" s="104"/>
      <c r="AD24" s="104"/>
      <c r="AE24" s="104"/>
      <c r="AF24" s="104"/>
      <c r="AG24" s="104"/>
      <c r="AH24" s="104"/>
      <c r="AI24" s="104"/>
      <c r="AJ24" s="104"/>
      <c r="AK24" s="104"/>
      <c r="AL24" s="104"/>
      <c r="AM24" s="104"/>
      <c r="AN24" s="104"/>
      <c r="AO24" s="104"/>
      <c r="AP24" s="104"/>
      <c r="AQ24" s="104"/>
      <c r="AR24" s="104"/>
      <c r="AS24" s="104"/>
      <c r="AT24" s="104"/>
      <c r="AU24" s="104"/>
      <c r="AV24" s="104"/>
      <c r="AW24" s="104"/>
      <c r="AX24" s="104"/>
      <c r="AY24" s="104"/>
      <c r="AZ24" s="104"/>
      <c r="BA24" s="104"/>
      <c r="BB24" s="104"/>
      <c r="BC24" s="104"/>
      <c r="BD24" s="104"/>
      <c r="BE24" s="104"/>
      <c r="BF24" s="104"/>
      <c r="BG24" s="104"/>
      <c r="BH24" s="104"/>
      <c r="BI24" s="104"/>
      <c r="BJ24" s="104"/>
      <c r="BK24" s="104"/>
      <c r="BL24" s="104"/>
      <c r="BM24" s="104"/>
      <c r="BN24" s="104"/>
      <c r="BO24" s="104"/>
      <c r="BP24" s="104"/>
      <c r="BQ24" s="104"/>
      <c r="BR24" s="104"/>
      <c r="BS24" s="104"/>
      <c r="BT24" s="104"/>
    </row>
    <row r="25" spans="1:72" ht="15.75" x14ac:dyDescent="0.25">
      <c r="A25" s="232" t="s">
        <v>33</v>
      </c>
      <c r="B25" s="233"/>
      <c r="C25" s="233"/>
      <c r="D25" s="234"/>
      <c r="E25" s="124" t="s">
        <v>28</v>
      </c>
      <c r="F25" s="128"/>
      <c r="G25" s="14">
        <v>310.62</v>
      </c>
      <c r="H25" s="12">
        <f t="shared" si="1"/>
        <v>0</v>
      </c>
      <c r="I25" s="128"/>
      <c r="J25" s="13">
        <v>335</v>
      </c>
      <c r="K25" s="13">
        <f t="shared" si="2"/>
        <v>0</v>
      </c>
      <c r="L25" s="129"/>
      <c r="M25" s="13">
        <v>436.87</v>
      </c>
      <c r="N25" s="13">
        <f t="shared" si="3"/>
        <v>0</v>
      </c>
      <c r="O25" s="107"/>
      <c r="P25" s="107"/>
      <c r="Q25" s="107"/>
      <c r="R25" s="107"/>
      <c r="S25" s="107"/>
      <c r="T25" s="107"/>
      <c r="U25" s="107"/>
      <c r="V25" s="15">
        <f t="shared" si="4"/>
        <v>0</v>
      </c>
      <c r="W25" s="107"/>
      <c r="X25" s="107"/>
      <c r="Y25" s="16"/>
      <c r="Z25" s="17"/>
      <c r="AA25" s="16"/>
      <c r="AB25" s="16"/>
      <c r="AC25" s="16"/>
      <c r="AD25" s="16"/>
      <c r="AE25" s="16"/>
      <c r="AF25" s="16"/>
      <c r="AG25" s="16"/>
      <c r="AH25" s="16"/>
      <c r="AI25" s="16"/>
      <c r="AJ25" s="16"/>
      <c r="AK25" s="16"/>
      <c r="AL25" s="16"/>
      <c r="AM25" s="16"/>
      <c r="AN25" s="16"/>
      <c r="AO25" s="16"/>
      <c r="AP25" s="16"/>
      <c r="AQ25" s="16"/>
      <c r="AR25" s="16"/>
      <c r="AS25" s="16"/>
      <c r="AT25" s="16"/>
      <c r="AU25" s="16"/>
      <c r="AV25" s="16"/>
      <c r="AW25" s="16"/>
      <c r="AX25" s="16"/>
      <c r="AY25" s="16"/>
      <c r="AZ25" s="16"/>
      <c r="BA25" s="16"/>
      <c r="BB25" s="16"/>
      <c r="BC25" s="16"/>
      <c r="BD25" s="16"/>
      <c r="BE25" s="16"/>
      <c r="BF25" s="16"/>
      <c r="BG25" s="16"/>
      <c r="BH25" s="16"/>
      <c r="BI25" s="16"/>
      <c r="BJ25" s="16"/>
      <c r="BK25" s="16"/>
      <c r="BL25" s="16"/>
      <c r="BM25" s="16"/>
      <c r="BN25" s="16"/>
      <c r="BO25" s="16"/>
      <c r="BP25" s="16"/>
      <c r="BQ25" s="16"/>
      <c r="BR25" s="16"/>
      <c r="BS25" s="16"/>
      <c r="BT25" s="16"/>
    </row>
    <row r="26" spans="1:72" s="100" customFormat="1" ht="15.75" x14ac:dyDescent="0.25">
      <c r="A26" s="232" t="s">
        <v>34</v>
      </c>
      <c r="B26" s="233"/>
      <c r="C26" s="233"/>
      <c r="D26" s="234"/>
      <c r="E26" s="124" t="s">
        <v>28</v>
      </c>
      <c r="F26" s="128"/>
      <c r="G26" s="14">
        <v>288.88</v>
      </c>
      <c r="H26" s="12">
        <f t="shared" si="1"/>
        <v>0</v>
      </c>
      <c r="I26" s="128"/>
      <c r="J26" s="13">
        <v>291.73</v>
      </c>
      <c r="K26" s="13">
        <f t="shared" si="2"/>
        <v>0</v>
      </c>
      <c r="L26" s="129"/>
      <c r="M26" s="13">
        <v>437.63</v>
      </c>
      <c r="N26" s="13">
        <f t="shared" si="3"/>
        <v>0</v>
      </c>
      <c r="O26" s="107"/>
      <c r="P26" s="107"/>
      <c r="Q26" s="107"/>
      <c r="R26" s="107"/>
      <c r="S26" s="107"/>
      <c r="T26" s="107"/>
      <c r="U26" s="107"/>
      <c r="V26" s="15">
        <f t="shared" si="4"/>
        <v>0</v>
      </c>
      <c r="W26" s="107"/>
      <c r="X26" s="107"/>
      <c r="Y26" s="16" t="s">
        <v>164</v>
      </c>
      <c r="Z26" s="17"/>
      <c r="AA26" s="16"/>
      <c r="AB26" s="16"/>
      <c r="AC26" s="16"/>
      <c r="AD26" s="16"/>
      <c r="AE26" s="16"/>
      <c r="AF26" s="16"/>
      <c r="AG26" s="16"/>
      <c r="AH26" s="16"/>
      <c r="AI26" s="16"/>
      <c r="AJ26" s="16"/>
      <c r="AK26" s="16"/>
      <c r="AL26" s="16"/>
      <c r="AM26" s="16"/>
      <c r="AN26" s="16"/>
      <c r="AO26" s="16"/>
      <c r="AP26" s="16"/>
      <c r="AQ26" s="16"/>
      <c r="AR26" s="16"/>
      <c r="AS26" s="16"/>
      <c r="AT26" s="16"/>
      <c r="AU26" s="16"/>
      <c r="AV26" s="16"/>
      <c r="AW26" s="16"/>
      <c r="AX26" s="16"/>
      <c r="AY26" s="16"/>
      <c r="AZ26" s="16"/>
      <c r="BA26" s="16"/>
      <c r="BB26" s="16"/>
      <c r="BC26" s="16"/>
      <c r="BD26" s="16"/>
      <c r="BE26" s="16"/>
      <c r="BF26" s="16"/>
      <c r="BG26" s="16"/>
      <c r="BH26" s="16"/>
      <c r="BI26" s="16"/>
      <c r="BJ26" s="16"/>
      <c r="BK26" s="16"/>
      <c r="BL26" s="16"/>
      <c r="BM26" s="16"/>
      <c r="BN26" s="16"/>
      <c r="BO26" s="16"/>
      <c r="BP26" s="16"/>
      <c r="BQ26" s="16"/>
      <c r="BR26" s="16"/>
      <c r="BS26" s="16"/>
      <c r="BT26" s="16"/>
    </row>
    <row r="27" spans="1:72" s="106" customFormat="1" ht="15.75" x14ac:dyDescent="0.25">
      <c r="A27" s="235" t="s">
        <v>128</v>
      </c>
      <c r="B27" s="235"/>
      <c r="C27" s="235"/>
      <c r="D27" s="235"/>
      <c r="E27" s="124" t="s">
        <v>28</v>
      </c>
      <c r="F27" s="128"/>
      <c r="G27" s="14">
        <v>368.59</v>
      </c>
      <c r="H27" s="12">
        <f t="shared" si="1"/>
        <v>0</v>
      </c>
      <c r="I27" s="128"/>
      <c r="J27" s="13">
        <v>379.23</v>
      </c>
      <c r="K27" s="13">
        <f t="shared" si="2"/>
        <v>0</v>
      </c>
      <c r="L27" s="129"/>
      <c r="M27" s="13">
        <v>538.84</v>
      </c>
      <c r="N27" s="13">
        <f t="shared" si="3"/>
        <v>0</v>
      </c>
      <c r="O27" s="107"/>
      <c r="P27" s="107"/>
      <c r="Q27" s="107"/>
      <c r="R27" s="107"/>
      <c r="S27" s="107"/>
      <c r="T27" s="108"/>
      <c r="U27" s="107"/>
      <c r="V27" s="15">
        <f t="shared" si="4"/>
        <v>0</v>
      </c>
      <c r="W27" s="107"/>
      <c r="X27" s="107"/>
      <c r="Y27" s="104"/>
      <c r="Z27" s="105"/>
      <c r="AA27" s="104"/>
      <c r="AB27" s="104"/>
      <c r="AC27" s="104"/>
      <c r="AD27" s="104"/>
      <c r="AE27" s="104"/>
      <c r="AF27" s="104"/>
      <c r="AG27" s="104"/>
      <c r="AH27" s="104"/>
      <c r="AI27" s="104"/>
      <c r="AJ27" s="104"/>
      <c r="AK27" s="104"/>
      <c r="AL27" s="104"/>
      <c r="AM27" s="104"/>
      <c r="AN27" s="104"/>
      <c r="AO27" s="104"/>
      <c r="AP27" s="104"/>
      <c r="AQ27" s="104"/>
      <c r="AR27" s="104"/>
      <c r="AS27" s="104"/>
      <c r="AT27" s="104"/>
      <c r="AU27" s="104"/>
      <c r="AV27" s="104"/>
      <c r="AW27" s="104"/>
      <c r="AX27" s="104"/>
      <c r="AY27" s="104"/>
      <c r="AZ27" s="104"/>
      <c r="BA27" s="104"/>
      <c r="BB27" s="104"/>
      <c r="BC27" s="104"/>
      <c r="BD27" s="104"/>
      <c r="BE27" s="104"/>
      <c r="BF27" s="104"/>
      <c r="BG27" s="104"/>
      <c r="BH27" s="104"/>
      <c r="BI27" s="104"/>
      <c r="BJ27" s="104"/>
      <c r="BK27" s="104"/>
      <c r="BL27" s="104"/>
      <c r="BM27" s="104"/>
      <c r="BN27" s="104"/>
      <c r="BO27" s="104"/>
      <c r="BP27" s="104"/>
      <c r="BQ27" s="104"/>
      <c r="BR27" s="104"/>
      <c r="BS27" s="104"/>
      <c r="BT27" s="104"/>
    </row>
    <row r="28" spans="1:72" ht="15.75" x14ac:dyDescent="0.25">
      <c r="A28" s="232" t="s">
        <v>35</v>
      </c>
      <c r="B28" s="233"/>
      <c r="C28" s="233"/>
      <c r="D28" s="234"/>
      <c r="E28" s="124" t="s">
        <v>28</v>
      </c>
      <c r="F28" s="128"/>
      <c r="G28" s="14">
        <v>368.59</v>
      </c>
      <c r="H28" s="14">
        <f t="shared" si="1"/>
        <v>0</v>
      </c>
      <c r="I28" s="128"/>
      <c r="J28" s="13">
        <v>379.23</v>
      </c>
      <c r="K28" s="13">
        <f t="shared" si="2"/>
        <v>0</v>
      </c>
      <c r="L28" s="129"/>
      <c r="M28" s="13">
        <v>538.84</v>
      </c>
      <c r="N28" s="13">
        <f t="shared" si="3"/>
        <v>0</v>
      </c>
      <c r="O28" s="107"/>
      <c r="P28" s="107"/>
      <c r="Q28" s="107"/>
      <c r="R28" s="107"/>
      <c r="S28" s="107"/>
      <c r="T28" s="108"/>
      <c r="U28" s="107"/>
      <c r="V28" s="15">
        <f t="shared" si="4"/>
        <v>0</v>
      </c>
      <c r="W28" s="107"/>
      <c r="X28" s="107"/>
      <c r="Y28" s="16"/>
      <c r="Z28" s="17"/>
      <c r="AA28" s="16"/>
      <c r="AB28" s="16"/>
      <c r="AC28" s="16"/>
      <c r="AD28" s="16"/>
      <c r="AE28" s="16"/>
      <c r="AF28" s="16"/>
      <c r="AG28" s="16"/>
      <c r="AH28" s="16"/>
      <c r="AI28" s="16"/>
      <c r="AJ28" s="16"/>
      <c r="AK28" s="16"/>
      <c r="AL28" s="16"/>
      <c r="AM28" s="16"/>
      <c r="AN28" s="16"/>
      <c r="AO28" s="16"/>
      <c r="AP28" s="16"/>
      <c r="AQ28" s="16"/>
      <c r="AR28" s="16"/>
      <c r="AS28" s="16"/>
      <c r="AT28" s="16"/>
      <c r="AU28" s="16"/>
      <c r="AV28" s="16"/>
      <c r="AW28" s="16"/>
      <c r="AX28" s="16"/>
      <c r="AY28" s="16"/>
      <c r="AZ28" s="16"/>
      <c r="BA28" s="16"/>
      <c r="BB28" s="16"/>
      <c r="BC28" s="16"/>
      <c r="BD28" s="16"/>
      <c r="BE28" s="16"/>
      <c r="BF28" s="16"/>
      <c r="BG28" s="16"/>
      <c r="BH28" s="16"/>
      <c r="BI28" s="16"/>
      <c r="BJ28" s="16"/>
      <c r="BK28" s="16"/>
      <c r="BL28" s="16"/>
      <c r="BM28" s="16"/>
      <c r="BN28" s="16"/>
      <c r="BO28" s="16"/>
      <c r="BP28" s="16"/>
      <c r="BQ28" s="16"/>
      <c r="BR28" s="16"/>
      <c r="BS28" s="16"/>
      <c r="BT28" s="16"/>
    </row>
    <row r="29" spans="1:72" s="106" customFormat="1" ht="15.75" x14ac:dyDescent="0.25">
      <c r="A29" s="235" t="s">
        <v>129</v>
      </c>
      <c r="B29" s="235"/>
      <c r="C29" s="235"/>
      <c r="D29" s="235"/>
      <c r="E29" s="124" t="s">
        <v>28</v>
      </c>
      <c r="F29" s="128"/>
      <c r="G29" s="14">
        <v>209.99</v>
      </c>
      <c r="H29" s="14">
        <f t="shared" si="1"/>
        <v>0</v>
      </c>
      <c r="I29" s="128"/>
      <c r="J29" s="13">
        <v>205.04</v>
      </c>
      <c r="K29" s="13">
        <f t="shared" si="2"/>
        <v>0</v>
      </c>
      <c r="L29" s="129"/>
      <c r="M29" s="13">
        <v>277.56</v>
      </c>
      <c r="N29" s="13">
        <f t="shared" si="3"/>
        <v>0</v>
      </c>
      <c r="O29" s="107"/>
      <c r="P29" s="107"/>
      <c r="Q29" s="107"/>
      <c r="R29" s="107"/>
      <c r="S29" s="107"/>
      <c r="T29" s="108"/>
      <c r="U29" s="107"/>
      <c r="V29" s="15">
        <f t="shared" si="4"/>
        <v>0</v>
      </c>
      <c r="W29" s="107"/>
      <c r="X29" s="107"/>
      <c r="Y29" s="104"/>
      <c r="Z29" s="105"/>
      <c r="AA29" s="104"/>
      <c r="AB29" s="104"/>
      <c r="AC29" s="104"/>
      <c r="AD29" s="104"/>
      <c r="AE29" s="104"/>
      <c r="AF29" s="104"/>
      <c r="AG29" s="104"/>
      <c r="AH29" s="104"/>
      <c r="AI29" s="104"/>
      <c r="AJ29" s="104"/>
      <c r="AK29" s="104"/>
      <c r="AL29" s="104"/>
      <c r="AM29" s="104"/>
      <c r="AN29" s="104"/>
      <c r="AO29" s="104"/>
      <c r="AP29" s="104"/>
      <c r="AQ29" s="104"/>
      <c r="AR29" s="104"/>
      <c r="AS29" s="104"/>
      <c r="AT29" s="104"/>
      <c r="AU29" s="104"/>
      <c r="AV29" s="104"/>
      <c r="AW29" s="104"/>
      <c r="AX29" s="104"/>
      <c r="AY29" s="104"/>
      <c r="AZ29" s="104"/>
      <c r="BA29" s="104"/>
      <c r="BB29" s="104"/>
      <c r="BC29" s="104"/>
      <c r="BD29" s="104"/>
      <c r="BE29" s="104"/>
      <c r="BF29" s="104"/>
      <c r="BG29" s="104"/>
      <c r="BH29" s="104"/>
      <c r="BI29" s="104"/>
      <c r="BJ29" s="104"/>
      <c r="BK29" s="104"/>
      <c r="BL29" s="104"/>
      <c r="BM29" s="104"/>
      <c r="BN29" s="104"/>
      <c r="BO29" s="104"/>
      <c r="BP29" s="104"/>
      <c r="BQ29" s="104"/>
      <c r="BR29" s="104"/>
      <c r="BS29" s="104"/>
      <c r="BT29" s="104"/>
    </row>
    <row r="30" spans="1:72" s="100" customFormat="1" ht="15.75" x14ac:dyDescent="0.25">
      <c r="A30" s="235" t="s">
        <v>36</v>
      </c>
      <c r="B30" s="235"/>
      <c r="C30" s="235"/>
      <c r="D30" s="235"/>
      <c r="E30" s="124" t="s">
        <v>28</v>
      </c>
      <c r="F30" s="128"/>
      <c r="G30" s="14">
        <v>209.99</v>
      </c>
      <c r="H30" s="14">
        <f t="shared" si="1"/>
        <v>0</v>
      </c>
      <c r="I30" s="128"/>
      <c r="J30" s="13">
        <v>239.4</v>
      </c>
      <c r="K30" s="13">
        <f t="shared" si="2"/>
        <v>0</v>
      </c>
      <c r="L30" s="129"/>
      <c r="M30" s="13">
        <v>297.41000000000003</v>
      </c>
      <c r="N30" s="13">
        <f t="shared" si="3"/>
        <v>0</v>
      </c>
      <c r="O30" s="107"/>
      <c r="P30" s="107"/>
      <c r="Q30" s="107"/>
      <c r="R30" s="107"/>
      <c r="S30" s="107"/>
      <c r="T30" s="108"/>
      <c r="U30" s="107"/>
      <c r="V30" s="15">
        <f t="shared" si="4"/>
        <v>0</v>
      </c>
      <c r="W30" s="107"/>
      <c r="X30" s="107"/>
      <c r="Y30" s="16"/>
      <c r="Z30" s="17"/>
      <c r="AA30" s="16"/>
      <c r="AB30" s="16"/>
      <c r="AC30" s="16"/>
      <c r="AD30" s="16"/>
      <c r="AE30" s="16"/>
      <c r="AF30" s="16"/>
      <c r="AG30" s="16"/>
      <c r="AH30" s="16"/>
      <c r="AI30" s="16"/>
      <c r="AJ30" s="16"/>
      <c r="AK30" s="16"/>
      <c r="AL30" s="16"/>
      <c r="AM30" s="16"/>
      <c r="AN30" s="16"/>
      <c r="AO30" s="16"/>
      <c r="AP30" s="16"/>
      <c r="AQ30" s="16"/>
      <c r="AR30" s="16"/>
      <c r="AS30" s="16"/>
      <c r="AT30" s="16"/>
      <c r="AU30" s="16"/>
      <c r="AV30" s="16"/>
      <c r="AW30" s="16"/>
      <c r="AX30" s="16"/>
      <c r="AY30" s="16"/>
      <c r="AZ30" s="16"/>
      <c r="BA30" s="16"/>
      <c r="BB30" s="16"/>
      <c r="BC30" s="16"/>
      <c r="BD30" s="16"/>
      <c r="BE30" s="16"/>
      <c r="BF30" s="16"/>
      <c r="BG30" s="16"/>
      <c r="BH30" s="16"/>
      <c r="BI30" s="16"/>
      <c r="BJ30" s="16"/>
      <c r="BK30" s="16"/>
      <c r="BL30" s="16"/>
      <c r="BM30" s="16"/>
      <c r="BN30" s="16"/>
      <c r="BO30" s="16"/>
      <c r="BP30" s="16"/>
      <c r="BQ30" s="16"/>
      <c r="BR30" s="16"/>
      <c r="BS30" s="16"/>
      <c r="BT30" s="16"/>
    </row>
    <row r="31" spans="1:72" s="100" customFormat="1" ht="15.75" x14ac:dyDescent="0.25">
      <c r="A31" s="235" t="s">
        <v>37</v>
      </c>
      <c r="B31" s="235"/>
      <c r="C31" s="235"/>
      <c r="D31" s="235"/>
      <c r="E31" s="124" t="s">
        <v>28</v>
      </c>
      <c r="F31" s="128">
        <v>8</v>
      </c>
      <c r="G31" s="14">
        <v>143.97</v>
      </c>
      <c r="H31" s="12">
        <f t="shared" si="1"/>
        <v>1151.76</v>
      </c>
      <c r="I31" s="128">
        <v>2</v>
      </c>
      <c r="J31" s="13">
        <v>210</v>
      </c>
      <c r="K31" s="13">
        <f>I31*J31</f>
        <v>420</v>
      </c>
      <c r="L31" s="129"/>
      <c r="M31" s="13">
        <v>0</v>
      </c>
      <c r="N31" s="13">
        <f t="shared" si="3"/>
        <v>0</v>
      </c>
      <c r="O31" s="107"/>
      <c r="P31" s="107"/>
      <c r="Q31" s="107"/>
      <c r="R31" s="107"/>
      <c r="S31" s="107"/>
      <c r="T31" s="108"/>
      <c r="U31" s="107"/>
      <c r="V31" s="15">
        <f t="shared" si="4"/>
        <v>0</v>
      </c>
      <c r="W31" s="107"/>
      <c r="X31" s="107"/>
      <c r="Y31" s="16" t="s">
        <v>166</v>
      </c>
      <c r="Z31" s="17"/>
      <c r="AA31" s="16"/>
      <c r="AB31" s="16"/>
      <c r="AC31" s="16"/>
      <c r="AD31" s="16"/>
      <c r="AE31" s="16"/>
      <c r="AF31" s="16"/>
      <c r="AG31" s="16"/>
      <c r="AH31" s="16"/>
      <c r="AI31" s="16"/>
      <c r="AJ31" s="16"/>
      <c r="AK31" s="16"/>
      <c r="AL31" s="16"/>
      <c r="AM31" s="16"/>
      <c r="AN31" s="16"/>
      <c r="AO31" s="16"/>
      <c r="AP31" s="16"/>
      <c r="AQ31" s="16"/>
      <c r="AR31" s="16"/>
      <c r="AS31" s="16"/>
      <c r="AT31" s="16"/>
      <c r="AU31" s="16"/>
      <c r="AV31" s="16"/>
      <c r="AW31" s="16"/>
      <c r="AX31" s="16"/>
      <c r="AY31" s="16"/>
      <c r="AZ31" s="16"/>
      <c r="BA31" s="16"/>
      <c r="BB31" s="16"/>
      <c r="BC31" s="16"/>
      <c r="BD31" s="16"/>
      <c r="BE31" s="16"/>
      <c r="BF31" s="16"/>
      <c r="BG31" s="16"/>
      <c r="BH31" s="16"/>
      <c r="BI31" s="16"/>
      <c r="BJ31" s="16"/>
      <c r="BK31" s="16"/>
      <c r="BL31" s="16"/>
      <c r="BM31" s="16"/>
      <c r="BN31" s="16"/>
      <c r="BO31" s="16"/>
      <c r="BP31" s="16"/>
      <c r="BQ31" s="16"/>
      <c r="BR31" s="16"/>
      <c r="BS31" s="16"/>
      <c r="BT31" s="16"/>
    </row>
    <row r="32" spans="1:72" ht="15.75" x14ac:dyDescent="0.25">
      <c r="A32" s="235" t="s">
        <v>38</v>
      </c>
      <c r="B32" s="235"/>
      <c r="C32" s="235"/>
      <c r="D32" s="235"/>
      <c r="E32" s="124" t="s">
        <v>28</v>
      </c>
      <c r="F32" s="128"/>
      <c r="G32" s="14"/>
      <c r="H32" s="12">
        <f t="shared" si="1"/>
        <v>0</v>
      </c>
      <c r="I32" s="128"/>
      <c r="J32" s="13">
        <v>210</v>
      </c>
      <c r="K32" s="13">
        <f>I32*J32</f>
        <v>0</v>
      </c>
      <c r="L32" s="129"/>
      <c r="M32" s="13">
        <v>240.95</v>
      </c>
      <c r="N32" s="13">
        <f t="shared" si="3"/>
        <v>0</v>
      </c>
      <c r="O32" s="107"/>
      <c r="P32" s="107"/>
      <c r="Q32" s="107"/>
      <c r="R32" s="107"/>
      <c r="S32" s="107"/>
      <c r="T32" s="108"/>
      <c r="U32" s="107"/>
      <c r="V32" s="15">
        <f t="shared" si="4"/>
        <v>0</v>
      </c>
      <c r="W32" s="107"/>
      <c r="X32" s="107"/>
      <c r="Y32" s="16" t="s">
        <v>165</v>
      </c>
      <c r="Z32" s="17"/>
      <c r="AA32" s="16"/>
      <c r="AB32" s="16"/>
      <c r="AC32" s="16"/>
      <c r="AD32" s="16"/>
      <c r="AE32" s="16"/>
      <c r="AF32" s="16"/>
      <c r="AG32" s="16"/>
      <c r="AH32" s="16"/>
      <c r="AI32" s="16"/>
      <c r="AJ32" s="16"/>
      <c r="AK32" s="16"/>
      <c r="AL32" s="16"/>
      <c r="AM32" s="16"/>
      <c r="AN32" s="16"/>
      <c r="AO32" s="16"/>
      <c r="AP32" s="16"/>
      <c r="AQ32" s="16"/>
      <c r="AR32" s="16"/>
      <c r="AS32" s="16"/>
      <c r="AT32" s="16"/>
      <c r="AU32" s="16"/>
      <c r="AV32" s="16"/>
      <c r="AW32" s="16"/>
      <c r="AX32" s="16"/>
      <c r="AY32" s="16"/>
      <c r="AZ32" s="16"/>
      <c r="BA32" s="16"/>
      <c r="BB32" s="16"/>
      <c r="BC32" s="16"/>
      <c r="BD32" s="16"/>
      <c r="BE32" s="16"/>
      <c r="BF32" s="16"/>
      <c r="BG32" s="16"/>
      <c r="BH32" s="16"/>
      <c r="BI32" s="16"/>
      <c r="BJ32" s="16"/>
      <c r="BK32" s="16"/>
      <c r="BL32" s="16"/>
      <c r="BM32" s="16"/>
      <c r="BN32" s="16"/>
      <c r="BO32" s="16"/>
      <c r="BP32" s="16"/>
      <c r="BQ32" s="16"/>
      <c r="BR32" s="16"/>
      <c r="BS32" s="16"/>
      <c r="BT32" s="16"/>
    </row>
    <row r="33" spans="1:72" ht="15.75" x14ac:dyDescent="0.25">
      <c r="A33" s="235" t="s">
        <v>39</v>
      </c>
      <c r="B33" s="235"/>
      <c r="C33" s="235"/>
      <c r="D33" s="235"/>
      <c r="E33" s="124" t="s">
        <v>28</v>
      </c>
      <c r="F33" s="128"/>
      <c r="G33" s="14">
        <v>189.48</v>
      </c>
      <c r="H33" s="14">
        <f t="shared" si="1"/>
        <v>0</v>
      </c>
      <c r="I33" s="128"/>
      <c r="J33" s="13">
        <v>203.96</v>
      </c>
      <c r="K33" s="13">
        <f t="shared" si="2"/>
        <v>0</v>
      </c>
      <c r="L33" s="129"/>
      <c r="M33" s="13">
        <v>260.95</v>
      </c>
      <c r="N33" s="13">
        <f t="shared" si="3"/>
        <v>0</v>
      </c>
      <c r="O33" s="107"/>
      <c r="P33" s="107"/>
      <c r="Q33" s="107"/>
      <c r="R33" s="107"/>
      <c r="S33" s="107"/>
      <c r="T33" s="108"/>
      <c r="U33" s="107"/>
      <c r="V33" s="15">
        <f t="shared" si="4"/>
        <v>0</v>
      </c>
      <c r="W33" s="107"/>
      <c r="X33" s="107"/>
      <c r="Y33" s="16"/>
      <c r="Z33" s="17"/>
      <c r="AA33" s="16"/>
      <c r="AB33" s="16"/>
      <c r="AC33" s="16"/>
      <c r="AD33" s="16"/>
      <c r="AE33" s="16"/>
      <c r="AF33" s="16"/>
      <c r="AG33" s="16"/>
      <c r="AH33" s="16"/>
      <c r="AI33" s="16"/>
      <c r="AJ33" s="16"/>
      <c r="AK33" s="16"/>
      <c r="AL33" s="16"/>
      <c r="AM33" s="16"/>
      <c r="AN33" s="16"/>
      <c r="AO33" s="16"/>
      <c r="AP33" s="16"/>
      <c r="AQ33" s="16"/>
      <c r="AR33" s="16"/>
      <c r="AS33" s="16"/>
      <c r="AT33" s="16"/>
      <c r="AU33" s="16"/>
      <c r="AV33" s="16"/>
      <c r="AW33" s="16"/>
      <c r="AX33" s="16"/>
      <c r="AY33" s="16"/>
      <c r="AZ33" s="16"/>
      <c r="BA33" s="16"/>
      <c r="BB33" s="16"/>
      <c r="BC33" s="16"/>
      <c r="BD33" s="16"/>
      <c r="BE33" s="16"/>
      <c r="BF33" s="16"/>
      <c r="BG33" s="16"/>
      <c r="BH33" s="16"/>
      <c r="BI33" s="16"/>
      <c r="BJ33" s="16"/>
      <c r="BK33" s="16"/>
      <c r="BL33" s="16"/>
      <c r="BM33" s="16"/>
      <c r="BN33" s="16"/>
      <c r="BO33" s="16"/>
      <c r="BP33" s="16"/>
      <c r="BQ33" s="16"/>
      <c r="BR33" s="16"/>
      <c r="BS33" s="16"/>
      <c r="BT33" s="16"/>
    </row>
    <row r="34" spans="1:72" s="100" customFormat="1" ht="15.75" x14ac:dyDescent="0.25">
      <c r="A34" s="232" t="s">
        <v>40</v>
      </c>
      <c r="B34" s="233"/>
      <c r="C34" s="233"/>
      <c r="D34" s="234"/>
      <c r="E34" s="124" t="s">
        <v>28</v>
      </c>
      <c r="F34" s="128"/>
      <c r="G34" s="14"/>
      <c r="H34" s="14">
        <f t="shared" si="1"/>
        <v>0</v>
      </c>
      <c r="I34" s="128"/>
      <c r="J34" s="13">
        <v>0</v>
      </c>
      <c r="K34" s="13">
        <f t="shared" si="2"/>
        <v>0</v>
      </c>
      <c r="L34" s="129"/>
      <c r="M34" s="13"/>
      <c r="N34" s="13">
        <f t="shared" si="3"/>
        <v>0</v>
      </c>
      <c r="O34" s="107"/>
      <c r="P34" s="107"/>
      <c r="Q34" s="107"/>
      <c r="R34" s="107"/>
      <c r="S34" s="107"/>
      <c r="T34" s="108"/>
      <c r="U34" s="107"/>
      <c r="V34" s="15">
        <f t="shared" si="4"/>
        <v>0</v>
      </c>
      <c r="W34" s="107"/>
      <c r="X34" s="107"/>
      <c r="Y34" s="3"/>
      <c r="Z34" s="17"/>
      <c r="AA34" s="16"/>
      <c r="AB34" s="16"/>
      <c r="AC34" s="16"/>
      <c r="AD34" s="16"/>
      <c r="AE34" s="16"/>
      <c r="AF34" s="16"/>
      <c r="AG34" s="16"/>
      <c r="AH34" s="16"/>
      <c r="AI34" s="16"/>
      <c r="AJ34" s="16"/>
      <c r="AK34" s="16"/>
      <c r="AL34" s="16"/>
      <c r="AM34" s="16"/>
      <c r="AN34" s="16"/>
      <c r="AO34" s="16"/>
      <c r="AP34" s="16"/>
      <c r="AQ34" s="16"/>
      <c r="AR34" s="16"/>
      <c r="AS34" s="16"/>
      <c r="AT34" s="16"/>
      <c r="AU34" s="16"/>
      <c r="AV34" s="16"/>
      <c r="AW34" s="16"/>
      <c r="AX34" s="16"/>
      <c r="AY34" s="16"/>
      <c r="AZ34" s="16"/>
      <c r="BA34" s="16"/>
      <c r="BB34" s="16"/>
      <c r="BC34" s="16"/>
      <c r="BD34" s="16"/>
      <c r="BE34" s="16"/>
      <c r="BF34" s="16"/>
      <c r="BG34" s="16"/>
      <c r="BH34" s="16"/>
      <c r="BI34" s="16"/>
      <c r="BJ34" s="16"/>
      <c r="BK34" s="16"/>
      <c r="BL34" s="16"/>
      <c r="BM34" s="16"/>
      <c r="BN34" s="16"/>
      <c r="BO34" s="16"/>
      <c r="BP34" s="16"/>
      <c r="BQ34" s="16"/>
      <c r="BR34" s="16"/>
      <c r="BS34" s="16"/>
      <c r="BT34" s="16"/>
    </row>
    <row r="35" spans="1:72" s="100" customFormat="1" ht="15.75" x14ac:dyDescent="0.25">
      <c r="A35" s="232" t="s">
        <v>41</v>
      </c>
      <c r="B35" s="233"/>
      <c r="C35" s="233"/>
      <c r="D35" s="234"/>
      <c r="E35" s="124" t="s">
        <v>28</v>
      </c>
      <c r="F35" s="128">
        <v>8</v>
      </c>
      <c r="G35" s="14">
        <v>166.17</v>
      </c>
      <c r="H35" s="14">
        <f t="shared" si="1"/>
        <v>1329.36</v>
      </c>
      <c r="I35" s="128">
        <v>2</v>
      </c>
      <c r="J35" s="13">
        <v>186.17</v>
      </c>
      <c r="K35" s="13">
        <f t="shared" si="2"/>
        <v>372.34</v>
      </c>
      <c r="L35" s="129"/>
      <c r="M35" s="13">
        <v>198.17</v>
      </c>
      <c r="N35" s="13">
        <f t="shared" si="3"/>
        <v>0</v>
      </c>
      <c r="O35" s="107"/>
      <c r="P35" s="107"/>
      <c r="Q35" s="107"/>
      <c r="R35" s="107"/>
      <c r="S35" s="107"/>
      <c r="T35" s="107"/>
      <c r="U35" s="107"/>
      <c r="V35" s="15">
        <f t="shared" si="4"/>
        <v>0</v>
      </c>
      <c r="W35" s="107"/>
      <c r="X35" s="107"/>
      <c r="Y35" s="16" t="s">
        <v>167</v>
      </c>
      <c r="Z35" s="17"/>
      <c r="AA35" s="16"/>
      <c r="AB35" s="16"/>
      <c r="AC35" s="16"/>
      <c r="AD35" s="16"/>
      <c r="AE35" s="16"/>
      <c r="AF35" s="16"/>
      <c r="AG35" s="16"/>
      <c r="AH35" s="16"/>
      <c r="AI35" s="16"/>
      <c r="AJ35" s="16"/>
      <c r="AK35" s="16"/>
      <c r="AL35" s="16"/>
      <c r="AM35" s="16"/>
      <c r="AN35" s="16"/>
      <c r="AO35" s="16"/>
      <c r="AP35" s="16"/>
      <c r="AQ35" s="16"/>
      <c r="AR35" s="16"/>
      <c r="AS35" s="16"/>
      <c r="AT35" s="16"/>
      <c r="AU35" s="16"/>
      <c r="AV35" s="16"/>
      <c r="AW35" s="16"/>
      <c r="AX35" s="16"/>
      <c r="AY35" s="16"/>
      <c r="AZ35" s="16"/>
      <c r="BA35" s="16"/>
      <c r="BB35" s="16"/>
      <c r="BC35" s="16"/>
      <c r="BD35" s="16"/>
      <c r="BE35" s="16"/>
      <c r="BF35" s="16"/>
      <c r="BG35" s="16"/>
      <c r="BH35" s="16"/>
      <c r="BI35" s="16"/>
      <c r="BJ35" s="16"/>
      <c r="BK35" s="16"/>
      <c r="BL35" s="16"/>
      <c r="BM35" s="16"/>
      <c r="BN35" s="16"/>
      <c r="BO35" s="16"/>
      <c r="BP35" s="16"/>
      <c r="BQ35" s="16"/>
      <c r="BR35" s="16"/>
      <c r="BS35" s="16"/>
      <c r="BT35" s="16"/>
    </row>
    <row r="36" spans="1:72" ht="15.75" x14ac:dyDescent="0.25">
      <c r="A36" s="232" t="s">
        <v>42</v>
      </c>
      <c r="B36" s="233"/>
      <c r="C36" s="233"/>
      <c r="D36" s="234"/>
      <c r="E36" s="124" t="s">
        <v>28</v>
      </c>
      <c r="F36" s="128"/>
      <c r="G36" s="14">
        <v>0</v>
      </c>
      <c r="H36" s="14">
        <f>F36*G36</f>
        <v>0</v>
      </c>
      <c r="I36" s="128"/>
      <c r="J36" s="13">
        <v>0</v>
      </c>
      <c r="K36" s="13">
        <f t="shared" si="2"/>
        <v>0</v>
      </c>
      <c r="L36" s="129"/>
      <c r="M36" s="13">
        <v>0</v>
      </c>
      <c r="N36" s="13">
        <f t="shared" si="3"/>
        <v>0</v>
      </c>
      <c r="O36" s="109"/>
      <c r="P36" s="109"/>
      <c r="Q36" s="109"/>
      <c r="R36" s="109"/>
      <c r="S36" s="109"/>
      <c r="T36" s="109"/>
      <c r="U36" s="107"/>
      <c r="V36" s="15">
        <f t="shared" si="4"/>
        <v>0</v>
      </c>
      <c r="W36" s="107"/>
      <c r="X36" s="107"/>
      <c r="Y36" s="16"/>
      <c r="Z36" s="17"/>
      <c r="AA36" s="16"/>
      <c r="AB36" s="16"/>
      <c r="AC36" s="16"/>
      <c r="AD36" s="16"/>
      <c r="AE36" s="16"/>
      <c r="AF36" s="16"/>
      <c r="AG36" s="16"/>
      <c r="AH36" s="16"/>
      <c r="AI36" s="16"/>
      <c r="AJ36" s="16"/>
      <c r="AK36" s="16"/>
      <c r="AL36" s="16"/>
      <c r="AM36" s="16"/>
      <c r="AN36" s="16"/>
      <c r="AO36" s="16"/>
      <c r="AP36" s="16"/>
      <c r="AQ36" s="16"/>
      <c r="AR36" s="16"/>
      <c r="AS36" s="16"/>
      <c r="AT36" s="16"/>
      <c r="AU36" s="16"/>
      <c r="AV36" s="16"/>
      <c r="AW36" s="16"/>
      <c r="AX36" s="16"/>
      <c r="AY36" s="16"/>
      <c r="AZ36" s="16"/>
      <c r="BA36" s="16"/>
      <c r="BB36" s="16"/>
      <c r="BC36" s="16"/>
      <c r="BD36" s="16"/>
      <c r="BE36" s="16"/>
      <c r="BF36" s="16"/>
      <c r="BG36" s="16"/>
      <c r="BH36" s="16"/>
      <c r="BI36" s="16"/>
      <c r="BJ36" s="16"/>
      <c r="BK36" s="16"/>
      <c r="BL36" s="16"/>
      <c r="BM36" s="16"/>
      <c r="BN36" s="16"/>
      <c r="BO36" s="16"/>
      <c r="BP36" s="16"/>
      <c r="BQ36" s="16"/>
      <c r="BR36" s="16"/>
      <c r="BS36" s="16"/>
      <c r="BT36" s="16"/>
    </row>
    <row r="37" spans="1:72" ht="15.75" x14ac:dyDescent="0.25">
      <c r="A37" s="166" t="s">
        <v>169</v>
      </c>
      <c r="B37" s="167"/>
      <c r="C37" s="167"/>
      <c r="D37" s="168"/>
      <c r="E37" s="124" t="s">
        <v>28</v>
      </c>
      <c r="F37" s="128"/>
      <c r="G37" s="12">
        <v>393.51</v>
      </c>
      <c r="H37" s="12">
        <f t="shared" ref="H37:H43" si="5">F37*G37</f>
        <v>0</v>
      </c>
      <c r="I37" s="128"/>
      <c r="J37" s="13">
        <v>406</v>
      </c>
      <c r="K37" s="13">
        <f t="shared" si="2"/>
        <v>0</v>
      </c>
      <c r="L37" s="129"/>
      <c r="M37" s="13">
        <v>564.86</v>
      </c>
      <c r="N37" s="13">
        <f t="shared" si="3"/>
        <v>0</v>
      </c>
      <c r="O37" s="109"/>
      <c r="P37" s="109"/>
      <c r="Q37" s="109"/>
      <c r="R37" s="109"/>
      <c r="S37" s="109"/>
      <c r="T37" s="109"/>
      <c r="U37" s="107"/>
      <c r="V37" s="15">
        <v>0</v>
      </c>
      <c r="W37" s="107"/>
      <c r="X37" s="107"/>
      <c r="Y37" s="16" t="s">
        <v>170</v>
      </c>
      <c r="Z37" s="17"/>
      <c r="AA37" s="16"/>
      <c r="AB37" s="16"/>
      <c r="AC37" s="16"/>
      <c r="AD37" s="16"/>
      <c r="AE37" s="16"/>
      <c r="AF37" s="16"/>
      <c r="AG37" s="16"/>
      <c r="AH37" s="16"/>
      <c r="AI37" s="16"/>
      <c r="AJ37" s="16"/>
      <c r="AK37" s="16"/>
      <c r="AL37" s="16"/>
      <c r="AM37" s="16"/>
      <c r="AN37" s="16"/>
      <c r="AO37" s="16"/>
      <c r="AP37" s="16"/>
      <c r="AQ37" s="16"/>
      <c r="AR37" s="16"/>
      <c r="AS37" s="16"/>
      <c r="AT37" s="16"/>
      <c r="AU37" s="16"/>
      <c r="AV37" s="16"/>
      <c r="AW37" s="16"/>
      <c r="AX37" s="16"/>
      <c r="AY37" s="16"/>
      <c r="AZ37" s="16"/>
      <c r="BA37" s="16"/>
      <c r="BB37" s="16"/>
      <c r="BC37" s="16"/>
      <c r="BD37" s="16"/>
      <c r="BE37" s="16"/>
      <c r="BF37" s="16"/>
      <c r="BG37" s="16"/>
      <c r="BH37" s="16"/>
      <c r="BI37" s="16"/>
      <c r="BJ37" s="16"/>
      <c r="BK37" s="16"/>
      <c r="BL37" s="16"/>
      <c r="BM37" s="16"/>
      <c r="BN37" s="16"/>
      <c r="BO37" s="16"/>
      <c r="BP37" s="16"/>
      <c r="BQ37" s="16"/>
      <c r="BR37" s="16"/>
      <c r="BS37" s="16"/>
      <c r="BT37" s="16"/>
    </row>
    <row r="38" spans="1:72" ht="15.75" x14ac:dyDescent="0.25">
      <c r="A38" s="235" t="s">
        <v>27</v>
      </c>
      <c r="B38" s="235"/>
      <c r="C38" s="235"/>
      <c r="D38" s="235"/>
      <c r="E38" s="124" t="s">
        <v>28</v>
      </c>
      <c r="F38" s="128"/>
      <c r="G38" s="12">
        <v>0</v>
      </c>
      <c r="H38" s="12">
        <f t="shared" si="5"/>
        <v>0</v>
      </c>
      <c r="I38" s="128"/>
      <c r="J38" s="13">
        <v>0</v>
      </c>
      <c r="K38" s="13">
        <f t="shared" si="2"/>
        <v>0</v>
      </c>
      <c r="L38" s="129"/>
      <c r="M38" s="13">
        <v>0</v>
      </c>
      <c r="N38" s="13">
        <f t="shared" si="3"/>
        <v>0</v>
      </c>
      <c r="O38" s="107"/>
      <c r="P38" s="107"/>
      <c r="Q38" s="107"/>
      <c r="R38" s="107"/>
      <c r="S38" s="107"/>
      <c r="T38" s="107"/>
      <c r="U38" s="107"/>
      <c r="V38" s="15">
        <f>+O38+P38+Q38+R38+S38+T38+U38-W38-X38</f>
        <v>0</v>
      </c>
      <c r="W38" s="107"/>
      <c r="X38" s="107"/>
      <c r="Y38" s="16"/>
      <c r="Z38" s="17"/>
      <c r="AA38" s="16"/>
      <c r="AB38" s="16"/>
      <c r="AC38" s="16"/>
      <c r="AD38" s="16"/>
      <c r="AE38" s="16"/>
      <c r="AF38" s="16"/>
      <c r="AG38" s="16"/>
      <c r="AH38" s="16"/>
      <c r="AI38" s="16"/>
      <c r="AJ38" s="16"/>
      <c r="AK38" s="16"/>
      <c r="AL38" s="16"/>
      <c r="AM38" s="16"/>
      <c r="AN38" s="16"/>
      <c r="AO38" s="16"/>
      <c r="AP38" s="16"/>
      <c r="AQ38" s="16"/>
      <c r="AR38" s="16"/>
      <c r="AS38" s="16"/>
      <c r="AT38" s="16"/>
      <c r="AU38" s="16"/>
      <c r="AV38" s="16"/>
      <c r="AW38" s="16"/>
      <c r="AX38" s="16"/>
      <c r="AY38" s="16"/>
      <c r="AZ38" s="16"/>
      <c r="BA38" s="16"/>
      <c r="BB38" s="16"/>
      <c r="BC38" s="16"/>
      <c r="BD38" s="16"/>
      <c r="BE38" s="16"/>
      <c r="BF38" s="16"/>
      <c r="BG38" s="16"/>
      <c r="BH38" s="16"/>
      <c r="BI38" s="16"/>
      <c r="BJ38" s="16"/>
      <c r="BK38" s="16"/>
      <c r="BL38" s="16"/>
      <c r="BM38" s="16"/>
      <c r="BN38" s="16"/>
      <c r="BO38" s="16"/>
      <c r="BP38" s="16"/>
      <c r="BQ38" s="16"/>
      <c r="BR38" s="16"/>
      <c r="BS38" s="16"/>
      <c r="BT38" s="16"/>
    </row>
    <row r="39" spans="1:72" ht="15.75" x14ac:dyDescent="0.25">
      <c r="A39" s="235" t="s">
        <v>29</v>
      </c>
      <c r="B39" s="235"/>
      <c r="C39" s="235"/>
      <c r="D39" s="235"/>
      <c r="E39" s="124" t="s">
        <v>28</v>
      </c>
      <c r="F39" s="128"/>
      <c r="G39" s="12">
        <v>339.75</v>
      </c>
      <c r="H39" s="12">
        <f t="shared" si="5"/>
        <v>0</v>
      </c>
      <c r="I39" s="128"/>
      <c r="J39" s="13">
        <v>325.79000000000002</v>
      </c>
      <c r="K39" s="13">
        <f t="shared" si="2"/>
        <v>0</v>
      </c>
      <c r="L39" s="129"/>
      <c r="M39" s="13">
        <v>488.68</v>
      </c>
      <c r="N39" s="13">
        <f t="shared" si="3"/>
        <v>0</v>
      </c>
      <c r="O39" s="107"/>
      <c r="P39" s="107"/>
      <c r="Q39" s="107"/>
      <c r="R39" s="107"/>
      <c r="S39" s="107"/>
      <c r="T39" s="107"/>
      <c r="U39" s="107"/>
      <c r="V39" s="15">
        <f>+O39+P39+Q39+R39+S39+T39+U39-W39-X39</f>
        <v>0</v>
      </c>
      <c r="W39" s="107"/>
      <c r="X39" s="107"/>
      <c r="Y39" s="16"/>
      <c r="Z39" s="17"/>
      <c r="AA39" s="16"/>
      <c r="AB39" s="16"/>
      <c r="AC39" s="16"/>
      <c r="AD39" s="16"/>
      <c r="AE39" s="16"/>
      <c r="AF39" s="16"/>
      <c r="AG39" s="16"/>
      <c r="AH39" s="16"/>
      <c r="AI39" s="16"/>
      <c r="AJ39" s="16"/>
      <c r="AK39" s="16"/>
      <c r="AL39" s="16"/>
      <c r="AM39" s="16"/>
      <c r="AN39" s="16"/>
      <c r="AO39" s="16"/>
      <c r="AP39" s="16"/>
      <c r="AQ39" s="16"/>
      <c r="AR39" s="16"/>
      <c r="AS39" s="16"/>
      <c r="AT39" s="16"/>
      <c r="AU39" s="16"/>
      <c r="AV39" s="16"/>
      <c r="AW39" s="16"/>
      <c r="AX39" s="16"/>
      <c r="AY39" s="16"/>
      <c r="AZ39" s="16"/>
      <c r="BA39" s="16"/>
      <c r="BB39" s="16"/>
      <c r="BC39" s="16"/>
      <c r="BD39" s="16"/>
      <c r="BE39" s="16"/>
      <c r="BF39" s="16"/>
      <c r="BG39" s="16"/>
      <c r="BH39" s="16"/>
      <c r="BI39" s="16"/>
      <c r="BJ39" s="16"/>
      <c r="BK39" s="16"/>
      <c r="BL39" s="16"/>
      <c r="BM39" s="16"/>
      <c r="BN39" s="16"/>
      <c r="BO39" s="16"/>
      <c r="BP39" s="16"/>
      <c r="BQ39" s="16"/>
      <c r="BR39" s="16"/>
      <c r="BS39" s="16"/>
      <c r="BT39" s="16"/>
    </row>
    <row r="40" spans="1:72" ht="15.75" x14ac:dyDescent="0.25">
      <c r="A40" s="232" t="s">
        <v>43</v>
      </c>
      <c r="B40" s="233"/>
      <c r="C40" s="233"/>
      <c r="D40" s="234"/>
      <c r="E40" s="124" t="s">
        <v>28</v>
      </c>
      <c r="F40" s="128"/>
      <c r="G40" s="12">
        <v>339.75</v>
      </c>
      <c r="H40" s="12">
        <f t="shared" si="5"/>
        <v>0</v>
      </c>
      <c r="I40" s="128"/>
      <c r="J40" s="13">
        <v>325.79000000000002</v>
      </c>
      <c r="K40" s="13">
        <f t="shared" si="2"/>
        <v>0</v>
      </c>
      <c r="L40" s="129"/>
      <c r="M40" s="13">
        <v>488.68</v>
      </c>
      <c r="N40" s="13">
        <f t="shared" si="3"/>
        <v>0</v>
      </c>
      <c r="O40" s="107"/>
      <c r="P40" s="107"/>
      <c r="Q40" s="107"/>
      <c r="R40" s="107"/>
      <c r="S40" s="107"/>
      <c r="T40" s="107"/>
      <c r="U40" s="107"/>
      <c r="V40" s="15">
        <f t="shared" si="4"/>
        <v>0</v>
      </c>
      <c r="W40" s="107"/>
      <c r="X40" s="107"/>
      <c r="Y40" s="16"/>
      <c r="Z40" s="17"/>
      <c r="AA40" s="16"/>
      <c r="AB40" s="16"/>
      <c r="AC40" s="16"/>
      <c r="AD40" s="16"/>
      <c r="AE40" s="16"/>
      <c r="AF40" s="1"/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  <c r="AX40" s="1"/>
      <c r="AY40" s="1"/>
      <c r="AZ40" s="1"/>
      <c r="BA40" s="1"/>
      <c r="BB40" s="1"/>
      <c r="BC40" s="1"/>
      <c r="BD40" s="1"/>
      <c r="BE40" s="1"/>
      <c r="BF40" s="1"/>
      <c r="BG40" s="1"/>
      <c r="BH40" s="1"/>
      <c r="BI40" s="1"/>
      <c r="BJ40" s="1"/>
      <c r="BK40" s="1"/>
      <c r="BL40" s="1"/>
      <c r="BM40" s="1"/>
      <c r="BN40" s="1"/>
      <c r="BO40" s="1"/>
      <c r="BP40" s="1"/>
      <c r="BQ40" s="1"/>
      <c r="BR40" s="1"/>
      <c r="BS40" s="1"/>
      <c r="BT40" s="1"/>
    </row>
    <row r="41" spans="1:72" ht="15.75" x14ac:dyDescent="0.25">
      <c r="A41" s="232" t="s">
        <v>44</v>
      </c>
      <c r="B41" s="233"/>
      <c r="C41" s="233"/>
      <c r="D41" s="234"/>
      <c r="E41" s="124" t="s">
        <v>28</v>
      </c>
      <c r="F41" s="128"/>
      <c r="G41" s="12">
        <v>339.75</v>
      </c>
      <c r="H41" s="12">
        <f t="shared" si="5"/>
        <v>0</v>
      </c>
      <c r="I41" s="128"/>
      <c r="J41" s="13">
        <v>325.79000000000002</v>
      </c>
      <c r="K41" s="13">
        <f t="shared" si="2"/>
        <v>0</v>
      </c>
      <c r="L41" s="129"/>
      <c r="M41" s="13">
        <v>488.68</v>
      </c>
      <c r="N41" s="13">
        <f t="shared" si="3"/>
        <v>0</v>
      </c>
      <c r="O41" s="107"/>
      <c r="P41" s="107"/>
      <c r="Q41" s="107"/>
      <c r="R41" s="107"/>
      <c r="S41" s="107"/>
      <c r="T41" s="107"/>
      <c r="U41" s="107"/>
      <c r="V41" s="15">
        <f t="shared" si="4"/>
        <v>0</v>
      </c>
      <c r="W41" s="107"/>
      <c r="X41" s="107"/>
      <c r="Y41" s="1"/>
      <c r="Z41" s="120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  <c r="AX41" s="1"/>
      <c r="AY41" s="1"/>
      <c r="AZ41" s="1"/>
      <c r="BA41" s="1"/>
      <c r="BB41" s="1"/>
      <c r="BC41" s="1"/>
      <c r="BD41" s="1"/>
      <c r="BE41" s="1"/>
      <c r="BF41" s="1"/>
      <c r="BG41" s="1"/>
      <c r="BH41" s="1"/>
      <c r="BI41" s="1"/>
      <c r="BJ41" s="1"/>
      <c r="BK41" s="1"/>
      <c r="BL41" s="1"/>
      <c r="BM41" s="1"/>
      <c r="BN41" s="1"/>
      <c r="BO41" s="1"/>
      <c r="BP41" s="1"/>
      <c r="BQ41" s="1"/>
      <c r="BR41" s="1"/>
      <c r="BS41" s="1"/>
      <c r="BT41" s="1"/>
    </row>
    <row r="42" spans="1:72" ht="15.75" x14ac:dyDescent="0.25">
      <c r="A42" s="232" t="s">
        <v>45</v>
      </c>
      <c r="B42" s="233"/>
      <c r="C42" s="233"/>
      <c r="D42" s="234"/>
      <c r="E42" s="124" t="s">
        <v>28</v>
      </c>
      <c r="F42" s="128"/>
      <c r="G42" s="14">
        <v>1004.49</v>
      </c>
      <c r="H42" s="14">
        <f t="shared" si="5"/>
        <v>0</v>
      </c>
      <c r="I42" s="128"/>
      <c r="J42" s="13">
        <v>1164.98</v>
      </c>
      <c r="K42" s="13">
        <f t="shared" si="2"/>
        <v>0</v>
      </c>
      <c r="L42" s="129"/>
      <c r="M42" s="13">
        <v>1747.46</v>
      </c>
      <c r="N42" s="13">
        <f t="shared" si="3"/>
        <v>0</v>
      </c>
      <c r="O42" s="107"/>
      <c r="P42" s="107"/>
      <c r="Q42" s="107"/>
      <c r="R42" s="107"/>
      <c r="S42" s="107"/>
      <c r="T42" s="107"/>
      <c r="U42" s="107"/>
      <c r="V42" s="15">
        <f t="shared" si="4"/>
        <v>0</v>
      </c>
      <c r="W42" s="107"/>
      <c r="X42" s="107"/>
      <c r="Y42" s="1"/>
      <c r="Z42" s="120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  <c r="AX42" s="1"/>
      <c r="AY42" s="1"/>
      <c r="AZ42" s="1"/>
      <c r="BA42" s="1"/>
      <c r="BB42" s="1"/>
      <c r="BC42" s="1"/>
      <c r="BD42" s="1"/>
      <c r="BE42" s="1"/>
      <c r="BF42" s="1"/>
      <c r="BG42" s="1"/>
      <c r="BH42" s="1"/>
      <c r="BI42" s="1"/>
      <c r="BJ42" s="1"/>
      <c r="BK42" s="1"/>
      <c r="BL42" s="1"/>
      <c r="BM42" s="1"/>
      <c r="BN42" s="1"/>
      <c r="BO42" s="1"/>
      <c r="BP42" s="1"/>
      <c r="BQ42" s="1"/>
      <c r="BR42" s="1"/>
      <c r="BS42" s="1"/>
      <c r="BT42" s="1"/>
    </row>
    <row r="43" spans="1:72" ht="15.75" x14ac:dyDescent="0.25">
      <c r="A43" s="232" t="s">
        <v>46</v>
      </c>
      <c r="B43" s="233"/>
      <c r="C43" s="233"/>
      <c r="D43" s="234"/>
      <c r="E43" s="124" t="s">
        <v>28</v>
      </c>
      <c r="F43" s="128"/>
      <c r="G43" s="14"/>
      <c r="H43" s="14">
        <f t="shared" si="5"/>
        <v>0</v>
      </c>
      <c r="I43" s="128"/>
      <c r="J43" s="13">
        <f>G43*1.5</f>
        <v>0</v>
      </c>
      <c r="K43" s="13">
        <f t="shared" si="2"/>
        <v>0</v>
      </c>
      <c r="L43" s="129"/>
      <c r="M43" s="13">
        <f>G43*2.25</f>
        <v>0</v>
      </c>
      <c r="N43" s="13">
        <f t="shared" si="3"/>
        <v>0</v>
      </c>
      <c r="O43" s="107"/>
      <c r="P43" s="107"/>
      <c r="Q43" s="107"/>
      <c r="R43" s="107"/>
      <c r="S43" s="107"/>
      <c r="T43" s="107"/>
      <c r="U43" s="107"/>
      <c r="V43" s="15">
        <f t="shared" si="4"/>
        <v>0</v>
      </c>
      <c r="W43" s="107"/>
      <c r="X43" s="107"/>
      <c r="Y43" s="1"/>
      <c r="Z43" s="120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  <c r="AX43" s="1"/>
      <c r="AY43" s="1"/>
      <c r="AZ43" s="1"/>
      <c r="BA43" s="1"/>
      <c r="BB43" s="1"/>
      <c r="BC43" s="1"/>
      <c r="BD43" s="1"/>
      <c r="BE43" s="1"/>
      <c r="BF43" s="1"/>
      <c r="BG43" s="1"/>
      <c r="BH43" s="1"/>
      <c r="BI43" s="1"/>
      <c r="BJ43" s="1"/>
      <c r="BK43" s="1"/>
      <c r="BL43" s="1"/>
      <c r="BM43" s="1"/>
      <c r="BN43" s="1"/>
      <c r="BO43" s="1"/>
      <c r="BP43" s="1"/>
      <c r="BQ43" s="1"/>
      <c r="BR43" s="1"/>
      <c r="BS43" s="1"/>
      <c r="BT43" s="1"/>
    </row>
    <row r="44" spans="1:72" ht="15.75" x14ac:dyDescent="0.25">
      <c r="A44" s="7"/>
      <c r="B44" s="7"/>
      <c r="C44" s="7"/>
      <c r="D44" s="7"/>
      <c r="E44" s="7"/>
      <c r="F44" s="7">
        <f>V44</f>
        <v>0</v>
      </c>
      <c r="G44" s="6" t="s">
        <v>47</v>
      </c>
      <c r="H44" s="19">
        <f>SUM(H21:H43)</f>
        <v>2481.12</v>
      </c>
      <c r="I44" s="103"/>
      <c r="J44" s="6" t="s">
        <v>48</v>
      </c>
      <c r="K44" s="6">
        <f>SUM(K21:K43)</f>
        <v>792.33999999999992</v>
      </c>
      <c r="L44" s="145"/>
      <c r="M44" s="21" t="s">
        <v>48</v>
      </c>
      <c r="N44" s="6">
        <f>SUM(N21:N43)</f>
        <v>0</v>
      </c>
      <c r="O44" s="16"/>
      <c r="P44" s="16"/>
      <c r="Q44" s="16"/>
      <c r="R44" s="16"/>
      <c r="S44" s="16"/>
      <c r="T44" s="16"/>
      <c r="U44" s="16"/>
      <c r="V44" s="16"/>
      <c r="W44" s="16"/>
      <c r="X44" s="16"/>
      <c r="Y44" s="1"/>
      <c r="Z44" s="120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  <c r="AX44" s="1"/>
      <c r="AY44" s="1"/>
      <c r="AZ44" s="1"/>
      <c r="BA44" s="1"/>
      <c r="BB44" s="1"/>
      <c r="BC44" s="1"/>
      <c r="BD44" s="1"/>
      <c r="BE44" s="1"/>
      <c r="BF44" s="1"/>
      <c r="BG44" s="1"/>
      <c r="BH44" s="1"/>
      <c r="BI44" s="1"/>
      <c r="BJ44" s="1"/>
      <c r="BK44" s="1"/>
      <c r="BL44" s="1"/>
      <c r="BM44" s="1"/>
      <c r="BN44" s="1"/>
      <c r="BO44" s="1"/>
      <c r="BP44" s="1"/>
      <c r="BQ44" s="1"/>
      <c r="BR44" s="1"/>
      <c r="BS44" s="1"/>
      <c r="BT44" s="1"/>
    </row>
    <row r="45" spans="1:72" ht="15.75" x14ac:dyDescent="0.25">
      <c r="A45" s="7"/>
      <c r="B45" s="7"/>
      <c r="C45" s="7"/>
      <c r="D45" s="7"/>
      <c r="E45" s="7"/>
      <c r="F45" s="7"/>
      <c r="G45" s="6" t="s">
        <v>49</v>
      </c>
      <c r="H45" s="19">
        <f>H44+K44+N44</f>
        <v>3273.46</v>
      </c>
      <c r="I45" s="22"/>
      <c r="J45" s="22"/>
      <c r="K45" s="22"/>
      <c r="L45" s="7"/>
      <c r="M45" s="23"/>
      <c r="N45" s="22"/>
      <c r="O45" s="16"/>
      <c r="P45" s="16"/>
      <c r="Q45" s="16"/>
      <c r="R45" s="16"/>
      <c r="S45" s="16"/>
      <c r="T45" s="16"/>
      <c r="U45" s="16"/>
      <c r="V45" s="16"/>
      <c r="W45" s="16"/>
      <c r="X45" s="16"/>
      <c r="Y45" s="1"/>
      <c r="Z45" s="120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  <c r="AX45" s="1"/>
      <c r="AY45" s="1"/>
      <c r="AZ45" s="1"/>
      <c r="BA45" s="1"/>
      <c r="BB45" s="1"/>
      <c r="BC45" s="1"/>
      <c r="BD45" s="1"/>
      <c r="BE45" s="1"/>
      <c r="BF45" s="1"/>
      <c r="BG45" s="1"/>
      <c r="BH45" s="1"/>
      <c r="BI45" s="1"/>
      <c r="BJ45" s="1"/>
      <c r="BK45" s="1"/>
      <c r="BL45" s="1"/>
      <c r="BM45" s="1"/>
      <c r="BN45" s="1"/>
      <c r="BO45" s="1"/>
      <c r="BP45" s="1"/>
      <c r="BQ45" s="1"/>
      <c r="BR45" s="1"/>
      <c r="BS45" s="1"/>
      <c r="BT45" s="1"/>
    </row>
    <row r="46" spans="1:72" ht="15.75" x14ac:dyDescent="0.25">
      <c r="A46" s="274" t="s">
        <v>50</v>
      </c>
      <c r="B46" s="274"/>
      <c r="C46" s="274"/>
      <c r="D46" s="274"/>
      <c r="E46" s="24"/>
      <c r="F46" s="25"/>
      <c r="G46" s="26" t="s">
        <v>51</v>
      </c>
      <c r="H46" s="6">
        <f>+H45*0.06</f>
        <v>196.4076</v>
      </c>
      <c r="I46" s="22"/>
      <c r="J46" s="7"/>
      <c r="K46" s="7"/>
      <c r="L46" s="7"/>
      <c r="M46" s="7"/>
      <c r="N46" s="7"/>
      <c r="O46" s="16"/>
      <c r="P46" s="16"/>
      <c r="Q46" s="16"/>
      <c r="R46" s="16"/>
      <c r="S46" s="16"/>
      <c r="T46" s="16"/>
      <c r="U46" s="16"/>
      <c r="V46" s="16"/>
      <c r="W46" s="16"/>
      <c r="X46" s="16"/>
      <c r="Y46" s="1"/>
      <c r="Z46" s="120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  <c r="AY46" s="1"/>
      <c r="AZ46" s="1"/>
      <c r="BA46" s="1"/>
      <c r="BB46" s="1"/>
      <c r="BC46" s="1"/>
      <c r="BD46" s="1"/>
      <c r="BE46" s="1"/>
      <c r="BF46" s="1"/>
      <c r="BG46" s="1"/>
      <c r="BH46" s="1"/>
      <c r="BI46" s="1"/>
      <c r="BJ46" s="1"/>
      <c r="BK46" s="1"/>
      <c r="BL46" s="1"/>
      <c r="BM46" s="1"/>
      <c r="BN46" s="1"/>
      <c r="BO46" s="1"/>
      <c r="BP46" s="1"/>
      <c r="BQ46" s="1"/>
      <c r="BR46" s="1"/>
      <c r="BS46" s="1"/>
      <c r="BT46" s="1"/>
    </row>
    <row r="47" spans="1:72" ht="15.75" x14ac:dyDescent="0.25">
      <c r="A47" s="172"/>
      <c r="B47" s="172"/>
      <c r="C47" s="172"/>
      <c r="D47" s="172"/>
      <c r="E47" s="7"/>
      <c r="F47" s="7"/>
      <c r="G47" s="175"/>
      <c r="H47" s="22"/>
      <c r="I47" s="173"/>
      <c r="J47" s="7"/>
      <c r="K47" s="7"/>
      <c r="L47" s="7"/>
      <c r="M47" s="7"/>
      <c r="N47" s="7"/>
      <c r="O47" s="16"/>
      <c r="P47" s="16"/>
      <c r="Q47" s="16"/>
      <c r="R47" s="16"/>
      <c r="S47" s="16"/>
      <c r="T47" s="16"/>
      <c r="U47" s="16"/>
      <c r="V47" s="16"/>
      <c r="W47" s="16"/>
      <c r="X47" s="16"/>
      <c r="Y47" s="1"/>
      <c r="Z47" s="120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  <c r="AX47" s="1"/>
      <c r="AY47" s="1"/>
      <c r="AZ47" s="1"/>
      <c r="BA47" s="1"/>
      <c r="BB47" s="1"/>
      <c r="BC47" s="1"/>
      <c r="BD47" s="1"/>
      <c r="BE47" s="1"/>
      <c r="BF47" s="1"/>
      <c r="BG47" s="1"/>
      <c r="BH47" s="1"/>
      <c r="BI47" s="1"/>
      <c r="BJ47" s="1"/>
      <c r="BK47" s="1"/>
      <c r="BL47" s="1"/>
      <c r="BM47" s="1"/>
      <c r="BN47" s="1"/>
      <c r="BO47" s="1"/>
      <c r="BP47" s="1"/>
      <c r="BQ47" s="1"/>
      <c r="BR47" s="1"/>
      <c r="BS47" s="1"/>
      <c r="BT47" s="1"/>
    </row>
    <row r="48" spans="1:72" ht="15.75" x14ac:dyDescent="0.25">
      <c r="A48" s="37"/>
      <c r="B48" s="37"/>
      <c r="C48" s="37"/>
      <c r="D48" s="37"/>
      <c r="E48" s="7"/>
      <c r="F48" s="7"/>
      <c r="G48" s="175"/>
      <c r="H48" s="22"/>
      <c r="I48" s="22"/>
      <c r="J48" s="7"/>
      <c r="K48" s="7"/>
      <c r="L48" s="7"/>
      <c r="M48" s="7"/>
      <c r="N48" s="7"/>
      <c r="O48" s="16"/>
      <c r="P48" s="16"/>
      <c r="Q48" s="16"/>
      <c r="R48" s="16"/>
      <c r="S48" s="16"/>
      <c r="T48" s="16"/>
      <c r="U48" s="16"/>
      <c r="V48" s="16"/>
      <c r="W48" s="16"/>
      <c r="X48" s="16"/>
      <c r="Y48" s="1"/>
      <c r="Z48" s="120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  <c r="AX48" s="1"/>
      <c r="AY48" s="1"/>
      <c r="AZ48" s="1"/>
      <c r="BA48" s="1"/>
      <c r="BB48" s="1"/>
      <c r="BC48" s="1"/>
      <c r="BD48" s="1"/>
      <c r="BE48" s="1"/>
      <c r="BF48" s="1"/>
      <c r="BG48" s="1"/>
      <c r="BH48" s="1"/>
      <c r="BI48" s="1"/>
      <c r="BJ48" s="1"/>
      <c r="BK48" s="1"/>
      <c r="BL48" s="1"/>
      <c r="BM48" s="1"/>
      <c r="BN48" s="1"/>
      <c r="BO48" s="1"/>
      <c r="BP48" s="1"/>
      <c r="BQ48" s="1"/>
      <c r="BR48" s="1"/>
      <c r="BS48" s="1"/>
      <c r="BT48" s="1"/>
    </row>
    <row r="49" spans="1:72" ht="15.75" x14ac:dyDescent="0.25">
      <c r="A49" s="239" t="s">
        <v>52</v>
      </c>
      <c r="B49" s="239"/>
      <c r="C49" s="239"/>
      <c r="D49" s="239"/>
      <c r="E49" s="7"/>
      <c r="F49" s="7"/>
      <c r="G49" s="38"/>
      <c r="H49" s="22"/>
      <c r="I49" s="22"/>
      <c r="J49" s="7"/>
      <c r="K49" s="7"/>
      <c r="L49" s="7"/>
      <c r="M49" s="7"/>
      <c r="N49" s="7"/>
      <c r="O49" s="16"/>
      <c r="P49" s="16"/>
      <c r="Q49" s="16"/>
      <c r="R49" s="16"/>
      <c r="S49" s="16"/>
      <c r="T49" s="16"/>
      <c r="U49" s="16"/>
      <c r="V49" s="16"/>
      <c r="W49" s="16"/>
      <c r="X49" s="16"/>
      <c r="Y49" s="1"/>
      <c r="Z49" s="120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  <c r="AX49" s="1"/>
      <c r="AY49" s="1"/>
      <c r="AZ49" s="1"/>
      <c r="BA49" s="1"/>
      <c r="BB49" s="1"/>
      <c r="BC49" s="1"/>
      <c r="BD49" s="1"/>
      <c r="BE49" s="1"/>
      <c r="BF49" s="1"/>
      <c r="BG49" s="1"/>
      <c r="BH49" s="1"/>
      <c r="BI49" s="1"/>
      <c r="BJ49" s="1"/>
      <c r="BK49" s="1"/>
      <c r="BL49" s="1"/>
      <c r="BM49" s="1"/>
      <c r="BN49" s="1"/>
      <c r="BO49" s="1"/>
      <c r="BP49" s="1"/>
      <c r="BQ49" s="1"/>
      <c r="BR49" s="1"/>
      <c r="BS49" s="1"/>
      <c r="BT49" s="1"/>
    </row>
    <row r="50" spans="1:72" ht="15.75" x14ac:dyDescent="0.25">
      <c r="A50" s="240" t="s">
        <v>7</v>
      </c>
      <c r="B50" s="240"/>
      <c r="C50" s="240"/>
      <c r="D50" s="240"/>
      <c r="E50" s="28" t="s">
        <v>8</v>
      </c>
      <c r="F50" s="174" t="s">
        <v>9</v>
      </c>
      <c r="G50" s="174" t="s">
        <v>10</v>
      </c>
      <c r="H50" s="174" t="s">
        <v>0</v>
      </c>
      <c r="I50" s="38"/>
      <c r="J50" s="118" t="s">
        <v>53</v>
      </c>
      <c r="K50" s="118" t="s">
        <v>54</v>
      </c>
      <c r="L50" s="118" t="s">
        <v>55</v>
      </c>
      <c r="M50" s="118" t="s">
        <v>56</v>
      </c>
      <c r="N50" s="16"/>
      <c r="O50" s="16"/>
      <c r="P50" s="16"/>
      <c r="Q50" s="16"/>
      <c r="R50" s="16"/>
      <c r="S50" s="16"/>
      <c r="T50" s="16"/>
      <c r="U50" s="16"/>
      <c r="V50" s="16"/>
      <c r="W50" s="16"/>
      <c r="X50" s="16"/>
      <c r="Y50" s="1"/>
      <c r="Z50" s="120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  <c r="AX50" s="1"/>
      <c r="AY50" s="1"/>
      <c r="AZ50" s="1"/>
      <c r="BA50" s="1"/>
      <c r="BB50" s="1"/>
      <c r="BC50" s="1"/>
      <c r="BD50" s="1"/>
      <c r="BE50" s="1"/>
      <c r="BF50" s="1"/>
      <c r="BG50" s="1"/>
      <c r="BH50" s="1"/>
      <c r="BI50" s="1"/>
      <c r="BJ50" s="1"/>
      <c r="BK50" s="1"/>
      <c r="BL50" s="1"/>
      <c r="BM50" s="1"/>
      <c r="BN50" s="1"/>
      <c r="BO50" s="1"/>
      <c r="BP50" s="1"/>
      <c r="BQ50" s="1"/>
      <c r="BR50" s="1"/>
      <c r="BS50" s="1"/>
      <c r="BT50" s="1"/>
    </row>
    <row r="51" spans="1:72" ht="33.6" customHeight="1" x14ac:dyDescent="0.25">
      <c r="A51" s="236" t="s">
        <v>133</v>
      </c>
      <c r="B51" s="237"/>
      <c r="C51" s="237"/>
      <c r="D51" s="237"/>
      <c r="E51" s="31" t="s">
        <v>57</v>
      </c>
      <c r="F51" s="146">
        <v>0</v>
      </c>
      <c r="G51" s="127">
        <v>150</v>
      </c>
      <c r="H51" s="127">
        <f t="shared" ref="H51:H57" si="6">F51*G51</f>
        <v>0</v>
      </c>
      <c r="I51" s="30"/>
      <c r="J51" s="31"/>
      <c r="K51" s="31"/>
      <c r="L51" s="31"/>
      <c r="M51" s="31">
        <f t="shared" ref="M51:M57" si="7">J51+K51+L51</f>
        <v>0</v>
      </c>
      <c r="N51" s="16"/>
      <c r="O51" s="16"/>
      <c r="P51" s="16"/>
      <c r="Q51" s="16"/>
      <c r="R51" s="16"/>
      <c r="S51" s="16"/>
      <c r="T51" s="16"/>
      <c r="U51" s="16"/>
      <c r="V51" s="16"/>
      <c r="W51" s="16"/>
      <c r="X51" s="16"/>
      <c r="Y51" s="1"/>
      <c r="Z51" s="120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  <c r="AX51" s="1"/>
      <c r="AY51" s="1"/>
      <c r="AZ51" s="1"/>
      <c r="BA51" s="1"/>
      <c r="BB51" s="1"/>
      <c r="BC51" s="1"/>
      <c r="BD51" s="1"/>
      <c r="BE51" s="1"/>
      <c r="BF51" s="1"/>
      <c r="BG51" s="1"/>
      <c r="BH51" s="1"/>
      <c r="BI51" s="1"/>
      <c r="BJ51" s="1"/>
      <c r="BK51" s="1"/>
      <c r="BL51" s="1"/>
      <c r="BM51" s="1"/>
      <c r="BN51" s="1"/>
      <c r="BO51" s="1"/>
      <c r="BP51" s="1"/>
      <c r="BQ51" s="1"/>
      <c r="BR51" s="1"/>
      <c r="BS51" s="1"/>
      <c r="BT51" s="1"/>
    </row>
    <row r="52" spans="1:72" ht="33.6" customHeight="1" x14ac:dyDescent="0.25">
      <c r="A52" s="236" t="s">
        <v>134</v>
      </c>
      <c r="B52" s="237"/>
      <c r="C52" s="237"/>
      <c r="D52" s="237"/>
      <c r="E52" s="31" t="s">
        <v>57</v>
      </c>
      <c r="F52" s="146">
        <v>0</v>
      </c>
      <c r="G52" s="127">
        <v>150</v>
      </c>
      <c r="H52" s="127">
        <f t="shared" si="6"/>
        <v>0</v>
      </c>
      <c r="I52" s="30"/>
      <c r="J52" s="31"/>
      <c r="K52" s="31"/>
      <c r="L52" s="31"/>
      <c r="M52" s="31">
        <f t="shared" si="7"/>
        <v>0</v>
      </c>
      <c r="N52" s="16"/>
      <c r="O52" s="16"/>
      <c r="P52" s="16"/>
      <c r="Q52" s="16"/>
      <c r="R52" s="16"/>
      <c r="S52" s="16"/>
      <c r="T52" s="16"/>
      <c r="U52" s="16"/>
      <c r="V52" s="16"/>
      <c r="W52" s="16"/>
      <c r="X52" s="16"/>
      <c r="Y52" s="1"/>
      <c r="Z52" s="120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  <c r="AX52" s="1"/>
      <c r="AY52" s="1"/>
      <c r="AZ52" s="1"/>
      <c r="BA52" s="1"/>
      <c r="BB52" s="1"/>
      <c r="BC52" s="1"/>
      <c r="BD52" s="1"/>
      <c r="BE52" s="1"/>
      <c r="BF52" s="1"/>
      <c r="BG52" s="1"/>
      <c r="BH52" s="1"/>
      <c r="BI52" s="1"/>
      <c r="BJ52" s="1"/>
      <c r="BK52" s="1"/>
      <c r="BL52" s="1"/>
      <c r="BM52" s="1"/>
      <c r="BN52" s="1"/>
      <c r="BO52" s="1"/>
      <c r="BP52" s="1"/>
      <c r="BQ52" s="1"/>
      <c r="BR52" s="1"/>
      <c r="BS52" s="1"/>
      <c r="BT52" s="1"/>
    </row>
    <row r="53" spans="1:72" ht="33.6" customHeight="1" x14ac:dyDescent="0.25">
      <c r="A53" s="236" t="s">
        <v>58</v>
      </c>
      <c r="B53" s="237"/>
      <c r="C53" s="237"/>
      <c r="D53" s="237"/>
      <c r="E53" s="31" t="s">
        <v>57</v>
      </c>
      <c r="F53" s="146">
        <v>0</v>
      </c>
      <c r="G53" s="127">
        <v>60</v>
      </c>
      <c r="H53" s="127">
        <f t="shared" si="6"/>
        <v>0</v>
      </c>
      <c r="I53" s="30"/>
      <c r="J53" s="31"/>
      <c r="K53" s="31"/>
      <c r="L53" s="31"/>
      <c r="M53" s="31">
        <f t="shared" si="7"/>
        <v>0</v>
      </c>
      <c r="N53" s="16"/>
      <c r="O53" s="16"/>
      <c r="P53" s="16"/>
      <c r="Q53" s="16"/>
      <c r="R53" s="16"/>
      <c r="S53" s="16"/>
      <c r="T53" s="16"/>
      <c r="U53" s="16"/>
      <c r="V53" s="16"/>
      <c r="W53" s="16"/>
      <c r="X53" s="16"/>
      <c r="Y53" s="1"/>
      <c r="Z53" s="120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/>
      <c r="AX53" s="1"/>
      <c r="AY53" s="1"/>
      <c r="AZ53" s="1"/>
      <c r="BA53" s="1"/>
      <c r="BB53" s="1"/>
      <c r="BC53" s="1"/>
      <c r="BD53" s="1"/>
      <c r="BE53" s="1"/>
      <c r="BF53" s="1"/>
      <c r="BG53" s="1"/>
      <c r="BH53" s="1"/>
      <c r="BI53" s="1"/>
      <c r="BJ53" s="1"/>
      <c r="BK53" s="1"/>
      <c r="BL53" s="1"/>
      <c r="BM53" s="1"/>
      <c r="BN53" s="1"/>
      <c r="BO53" s="1"/>
      <c r="BP53" s="1"/>
      <c r="BQ53" s="1"/>
      <c r="BR53" s="1"/>
      <c r="BS53" s="1"/>
      <c r="BT53" s="1"/>
    </row>
    <row r="54" spans="1:72" ht="33.6" customHeight="1" x14ac:dyDescent="0.25">
      <c r="A54" s="236" t="s">
        <v>135</v>
      </c>
      <c r="B54" s="237"/>
      <c r="C54" s="237"/>
      <c r="D54" s="237"/>
      <c r="E54" s="31" t="s">
        <v>57</v>
      </c>
      <c r="F54" s="146">
        <v>0</v>
      </c>
      <c r="G54" s="127">
        <v>120</v>
      </c>
      <c r="H54" s="127">
        <f t="shared" si="6"/>
        <v>0</v>
      </c>
      <c r="I54" s="30"/>
      <c r="J54" s="31"/>
      <c r="K54" s="31"/>
      <c r="L54" s="31"/>
      <c r="M54" s="31">
        <f t="shared" si="7"/>
        <v>0</v>
      </c>
      <c r="N54" s="16"/>
      <c r="O54" s="16"/>
      <c r="P54" s="16"/>
      <c r="Q54" s="16"/>
      <c r="R54" s="16"/>
      <c r="S54" s="16"/>
      <c r="T54" s="16"/>
      <c r="U54" s="16"/>
      <c r="V54" s="16"/>
      <c r="W54" s="16"/>
      <c r="X54" s="16"/>
      <c r="Y54" s="1"/>
      <c r="Z54" s="120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1"/>
      <c r="AX54" s="1"/>
      <c r="AY54" s="1"/>
      <c r="AZ54" s="1"/>
      <c r="BA54" s="1"/>
      <c r="BB54" s="1"/>
      <c r="BC54" s="1"/>
      <c r="BD54" s="1"/>
      <c r="BE54" s="1"/>
      <c r="BF54" s="1"/>
      <c r="BG54" s="1"/>
      <c r="BH54" s="1"/>
      <c r="BI54" s="1"/>
      <c r="BJ54" s="1"/>
      <c r="BK54" s="1"/>
      <c r="BL54" s="1"/>
      <c r="BM54" s="1"/>
      <c r="BN54" s="1"/>
      <c r="BO54" s="1"/>
      <c r="BP54" s="1"/>
      <c r="BQ54" s="1"/>
      <c r="BR54" s="1"/>
      <c r="BS54" s="1"/>
      <c r="BT54" s="1"/>
    </row>
    <row r="55" spans="1:72" ht="33.6" customHeight="1" x14ac:dyDescent="0.25">
      <c r="A55" s="236" t="s">
        <v>190</v>
      </c>
      <c r="B55" s="237"/>
      <c r="C55" s="237"/>
      <c r="D55" s="237"/>
      <c r="E55" s="31" t="s">
        <v>57</v>
      </c>
      <c r="F55" s="146">
        <v>10</v>
      </c>
      <c r="G55" s="127">
        <v>500</v>
      </c>
      <c r="H55" s="127">
        <f t="shared" si="6"/>
        <v>5000</v>
      </c>
      <c r="I55" s="30"/>
      <c r="J55" s="31"/>
      <c r="K55" s="31"/>
      <c r="L55" s="31"/>
      <c r="M55" s="31">
        <f t="shared" si="7"/>
        <v>0</v>
      </c>
      <c r="N55" s="16"/>
      <c r="O55" s="16"/>
      <c r="P55" s="16"/>
      <c r="Q55" s="16"/>
      <c r="R55" s="16"/>
      <c r="S55" s="16"/>
      <c r="T55" s="16"/>
      <c r="U55" s="16"/>
      <c r="V55" s="16"/>
      <c r="W55" s="16"/>
      <c r="X55" s="16"/>
      <c r="Y55" s="1"/>
      <c r="Z55" s="120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  <c r="AW55" s="1"/>
      <c r="AX55" s="1"/>
      <c r="AY55" s="1"/>
      <c r="AZ55" s="1"/>
      <c r="BA55" s="1"/>
      <c r="BB55" s="1"/>
      <c r="BC55" s="1"/>
      <c r="BD55" s="1"/>
      <c r="BE55" s="1"/>
      <c r="BF55" s="1"/>
      <c r="BG55" s="1"/>
      <c r="BH55" s="1"/>
      <c r="BI55" s="1"/>
      <c r="BJ55" s="1"/>
      <c r="BK55" s="1"/>
      <c r="BL55" s="1"/>
      <c r="BM55" s="1"/>
      <c r="BN55" s="1"/>
      <c r="BO55" s="1"/>
      <c r="BP55" s="1"/>
      <c r="BQ55" s="1"/>
      <c r="BR55" s="1"/>
      <c r="BS55" s="1"/>
      <c r="BT55" s="1"/>
    </row>
    <row r="56" spans="1:72" ht="33.6" customHeight="1" x14ac:dyDescent="0.25">
      <c r="A56" s="236"/>
      <c r="B56" s="237"/>
      <c r="C56" s="237"/>
      <c r="D56" s="237"/>
      <c r="E56" s="31" t="s">
        <v>59</v>
      </c>
      <c r="F56" s="146">
        <v>0</v>
      </c>
      <c r="G56" s="127"/>
      <c r="H56" s="127">
        <f t="shared" si="6"/>
        <v>0</v>
      </c>
      <c r="I56" s="30"/>
      <c r="J56" s="31"/>
      <c r="K56" s="31"/>
      <c r="L56" s="31"/>
      <c r="M56" s="31">
        <f t="shared" si="7"/>
        <v>0</v>
      </c>
      <c r="N56" s="16"/>
      <c r="O56" s="16"/>
      <c r="P56" s="16"/>
      <c r="Q56" s="16"/>
      <c r="R56" s="16"/>
      <c r="S56" s="16"/>
      <c r="T56" s="16"/>
      <c r="U56" s="16"/>
      <c r="V56" s="16"/>
      <c r="W56" s="16"/>
      <c r="X56" s="16"/>
      <c r="Y56" s="1"/>
      <c r="Z56" s="120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  <c r="AX56" s="1"/>
      <c r="AY56" s="1"/>
      <c r="AZ56" s="1"/>
      <c r="BA56" s="1"/>
      <c r="BB56" s="1"/>
      <c r="BC56" s="1"/>
      <c r="BD56" s="1"/>
      <c r="BE56" s="1"/>
      <c r="BF56" s="1"/>
      <c r="BG56" s="1"/>
      <c r="BH56" s="1"/>
      <c r="BI56" s="1"/>
      <c r="BJ56" s="1"/>
      <c r="BK56" s="1"/>
      <c r="BL56" s="1"/>
      <c r="BM56" s="1"/>
      <c r="BN56" s="1"/>
      <c r="BO56" s="1"/>
      <c r="BP56" s="1"/>
      <c r="BQ56" s="1"/>
      <c r="BR56" s="1"/>
      <c r="BS56" s="1"/>
      <c r="BT56" s="1"/>
    </row>
    <row r="57" spans="1:72" ht="33.6" customHeight="1" x14ac:dyDescent="0.25">
      <c r="A57" s="236" t="s">
        <v>60</v>
      </c>
      <c r="B57" s="237"/>
      <c r="C57" s="237"/>
      <c r="D57" s="237"/>
      <c r="E57" s="31" t="s">
        <v>61</v>
      </c>
      <c r="F57" s="146">
        <v>0</v>
      </c>
      <c r="G57" s="127">
        <v>2.5</v>
      </c>
      <c r="H57" s="127">
        <f t="shared" si="6"/>
        <v>0</v>
      </c>
      <c r="I57" s="30"/>
      <c r="J57" s="31"/>
      <c r="K57" s="31"/>
      <c r="L57" s="31"/>
      <c r="M57" s="31">
        <f t="shared" si="7"/>
        <v>0</v>
      </c>
      <c r="N57" s="16"/>
      <c r="O57" s="16"/>
      <c r="P57" s="16"/>
      <c r="Q57" s="16"/>
      <c r="R57" s="16"/>
      <c r="S57" s="16"/>
      <c r="T57" s="16"/>
      <c r="U57" s="16"/>
      <c r="V57" s="16"/>
      <c r="W57" s="16"/>
      <c r="X57" s="16"/>
      <c r="Y57" s="1"/>
      <c r="Z57" s="120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  <c r="AX57" s="1"/>
      <c r="AY57" s="1"/>
      <c r="AZ57" s="1"/>
      <c r="BA57" s="1"/>
      <c r="BB57" s="1"/>
      <c r="BC57" s="1"/>
      <c r="BD57" s="1"/>
      <c r="BE57" s="1"/>
      <c r="BF57" s="1"/>
      <c r="BG57" s="1"/>
      <c r="BH57" s="1"/>
      <c r="BI57" s="1"/>
      <c r="BJ57" s="1"/>
      <c r="BK57" s="1"/>
      <c r="BL57" s="1"/>
      <c r="BM57" s="1"/>
      <c r="BN57" s="1"/>
      <c r="BO57" s="1"/>
      <c r="BP57" s="1"/>
      <c r="BQ57" s="1"/>
      <c r="BR57" s="1"/>
      <c r="BS57" s="1"/>
      <c r="BT57" s="1"/>
    </row>
    <row r="58" spans="1:72" ht="15.75" x14ac:dyDescent="0.25">
      <c r="A58" s="16"/>
      <c r="B58" s="16"/>
      <c r="C58" s="16"/>
      <c r="D58" s="16"/>
      <c r="E58" s="16"/>
      <c r="F58" s="16"/>
      <c r="G58" s="34" t="s">
        <v>62</v>
      </c>
      <c r="H58" s="34">
        <f>SUM(H51:H57)</f>
        <v>5000</v>
      </c>
      <c r="I58" s="22"/>
      <c r="J58" s="16"/>
      <c r="K58" s="16"/>
      <c r="L58" s="16"/>
      <c r="M58" s="139"/>
      <c r="N58" s="16"/>
      <c r="O58" s="16"/>
      <c r="P58" s="16"/>
      <c r="Q58" s="16"/>
      <c r="R58" s="16"/>
      <c r="S58" s="16"/>
      <c r="T58" s="16"/>
      <c r="U58" s="16"/>
      <c r="V58" s="16"/>
      <c r="W58" s="16"/>
      <c r="X58" s="16"/>
      <c r="Y58" s="1"/>
      <c r="Z58" s="120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  <c r="AX58" s="1"/>
      <c r="AY58" s="1"/>
      <c r="AZ58" s="1"/>
      <c r="BA58" s="1"/>
      <c r="BB58" s="1"/>
      <c r="BC58" s="1"/>
      <c r="BD58" s="1"/>
      <c r="BE58" s="1"/>
      <c r="BF58" s="1"/>
      <c r="BG58" s="1"/>
      <c r="BH58" s="1"/>
      <c r="BI58" s="1"/>
      <c r="BJ58" s="1"/>
      <c r="BK58" s="1"/>
      <c r="BL58" s="1"/>
      <c r="BM58" s="1"/>
      <c r="BN58" s="1"/>
      <c r="BO58" s="1"/>
      <c r="BP58" s="1"/>
      <c r="BQ58" s="1"/>
      <c r="BR58" s="1"/>
      <c r="BS58" s="1"/>
      <c r="BT58" s="1"/>
    </row>
    <row r="59" spans="1:72" ht="15.75" x14ac:dyDescent="0.25">
      <c r="A59" s="16"/>
      <c r="B59" s="16"/>
      <c r="C59" s="16"/>
      <c r="D59" s="16"/>
      <c r="E59" s="16"/>
      <c r="F59" s="16"/>
      <c r="G59" s="118" t="s">
        <v>82</v>
      </c>
      <c r="H59" s="34">
        <f>H58+H45+H17</f>
        <v>8273.4599999999991</v>
      </c>
      <c r="I59" s="134"/>
      <c r="J59" s="62"/>
      <c r="K59" s="16"/>
      <c r="L59" s="16"/>
      <c r="M59" s="16"/>
      <c r="N59" s="16"/>
      <c r="O59" s="16"/>
      <c r="P59" s="16"/>
      <c r="Q59" s="16"/>
      <c r="R59" s="16"/>
      <c r="S59" s="16"/>
      <c r="T59" s="16"/>
      <c r="U59" s="16"/>
      <c r="V59" s="16"/>
      <c r="W59" s="16"/>
      <c r="X59" s="16"/>
      <c r="Y59" s="1"/>
      <c r="Z59" s="120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  <c r="AX59" s="1"/>
      <c r="AY59" s="1"/>
      <c r="AZ59" s="1"/>
      <c r="BA59" s="1"/>
      <c r="BB59" s="1"/>
      <c r="BC59" s="1"/>
      <c r="BD59" s="1"/>
      <c r="BE59" s="1"/>
      <c r="BF59" s="1"/>
      <c r="BG59" s="1"/>
      <c r="BH59" s="1"/>
      <c r="BI59" s="1"/>
      <c r="BJ59" s="1"/>
      <c r="BK59" s="1"/>
      <c r="BL59" s="1"/>
      <c r="BM59" s="1"/>
      <c r="BN59" s="1"/>
      <c r="BO59" s="1"/>
      <c r="BP59" s="1"/>
      <c r="BQ59" s="1"/>
      <c r="BR59" s="1"/>
      <c r="BS59" s="1"/>
      <c r="BT59" s="1"/>
    </row>
    <row r="60" spans="1:72" ht="15.75" x14ac:dyDescent="0.25">
      <c r="A60" s="3" t="s">
        <v>83</v>
      </c>
      <c r="B60" s="7"/>
      <c r="C60" s="7"/>
      <c r="D60" s="16"/>
      <c r="E60" s="16"/>
      <c r="F60" s="16"/>
      <c r="G60" s="1"/>
      <c r="H60" s="42"/>
      <c r="I60" s="9"/>
      <c r="J60" s="62"/>
      <c r="K60" s="7"/>
      <c r="L60" s="16"/>
      <c r="M60" s="16"/>
      <c r="N60" s="16"/>
      <c r="O60" s="16"/>
      <c r="P60" s="16"/>
      <c r="Q60" s="16"/>
      <c r="R60" s="16"/>
      <c r="S60" s="16"/>
      <c r="T60" s="16"/>
      <c r="U60" s="16"/>
      <c r="V60" s="16"/>
      <c r="W60" s="16"/>
      <c r="X60" s="16"/>
      <c r="Y60" s="1"/>
      <c r="Z60" s="120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  <c r="AX60" s="1"/>
      <c r="AY60" s="1"/>
      <c r="AZ60" s="1"/>
      <c r="BA60" s="1"/>
      <c r="BB60" s="1"/>
      <c r="BC60" s="1"/>
      <c r="BD60" s="1"/>
      <c r="BE60" s="1"/>
      <c r="BF60" s="1"/>
      <c r="BG60" s="1"/>
      <c r="BH60" s="1"/>
      <c r="BI60" s="1"/>
      <c r="BJ60" s="1"/>
      <c r="BK60" s="1"/>
      <c r="BL60" s="1"/>
      <c r="BM60" s="1"/>
      <c r="BN60" s="1"/>
      <c r="BO60" s="1"/>
      <c r="BP60" s="1"/>
      <c r="BQ60" s="1"/>
      <c r="BR60" s="1"/>
      <c r="BS60" s="1"/>
      <c r="BT60" s="1"/>
    </row>
    <row r="61" spans="1:72" ht="15.75" x14ac:dyDescent="0.25">
      <c r="A61" s="246" t="s">
        <v>7</v>
      </c>
      <c r="B61" s="246"/>
      <c r="C61" s="246"/>
      <c r="D61" s="246"/>
      <c r="E61" s="43" t="s">
        <v>8</v>
      </c>
      <c r="F61" s="119" t="s">
        <v>9</v>
      </c>
      <c r="G61" s="119" t="s">
        <v>10</v>
      </c>
      <c r="H61" s="44" t="s">
        <v>0</v>
      </c>
      <c r="I61" s="45" t="s">
        <v>84</v>
      </c>
      <c r="J61" s="46"/>
      <c r="K61" s="46" t="s">
        <v>85</v>
      </c>
      <c r="L61" s="47"/>
      <c r="M61" s="16"/>
      <c r="N61" s="16"/>
      <c r="O61" s="16"/>
      <c r="P61" s="16"/>
      <c r="Q61" s="16"/>
      <c r="R61" s="16"/>
      <c r="S61" s="16"/>
      <c r="T61" s="16"/>
      <c r="U61" s="16"/>
      <c r="V61" s="16"/>
      <c r="W61" s="16"/>
      <c r="X61" s="16"/>
      <c r="Y61" s="1"/>
      <c r="Z61" s="120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  <c r="AX61" s="1"/>
      <c r="AY61" s="1"/>
      <c r="AZ61" s="1"/>
      <c r="BA61" s="1"/>
      <c r="BB61" s="1"/>
      <c r="BC61" s="1"/>
      <c r="BD61" s="1"/>
      <c r="BE61" s="1"/>
      <c r="BF61" s="1"/>
      <c r="BG61" s="1"/>
      <c r="BH61" s="1"/>
      <c r="BI61" s="1"/>
      <c r="BJ61" s="1"/>
      <c r="BK61" s="1"/>
      <c r="BL61" s="1"/>
      <c r="BM61" s="1"/>
      <c r="BN61" s="1"/>
      <c r="BO61" s="1"/>
      <c r="BP61" s="1"/>
      <c r="BQ61" s="1"/>
      <c r="BR61" s="1"/>
      <c r="BS61" s="1"/>
      <c r="BT61" s="1"/>
    </row>
    <row r="62" spans="1:72" ht="15.75" x14ac:dyDescent="0.25">
      <c r="A62" s="241" t="s">
        <v>86</v>
      </c>
      <c r="B62" s="242"/>
      <c r="C62" s="242"/>
      <c r="D62" s="242"/>
      <c r="E62" s="123" t="s">
        <v>87</v>
      </c>
      <c r="F62" s="128"/>
      <c r="G62" s="36">
        <v>2200</v>
      </c>
      <c r="H62" s="48">
        <f>(F62*G62)</f>
        <v>0</v>
      </c>
      <c r="I62" s="49"/>
      <c r="J62" s="50"/>
      <c r="K62" s="51"/>
      <c r="L62" s="62"/>
      <c r="M62" s="16"/>
      <c r="N62" s="16"/>
      <c r="O62" s="16"/>
      <c r="P62" s="16"/>
      <c r="Q62" s="16"/>
      <c r="R62" s="16"/>
      <c r="S62" s="16"/>
      <c r="T62" s="16"/>
      <c r="U62" s="16"/>
      <c r="V62" s="16"/>
      <c r="W62" s="16"/>
      <c r="X62" s="16"/>
      <c r="Y62" s="1"/>
      <c r="Z62" s="120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  <c r="AY62" s="1"/>
      <c r="AZ62" s="1"/>
      <c r="BA62" s="1"/>
      <c r="BB62" s="1"/>
      <c r="BC62" s="1"/>
      <c r="BD62" s="1"/>
      <c r="BE62" s="1"/>
      <c r="BF62" s="1"/>
      <c r="BG62" s="1"/>
      <c r="BH62" s="1"/>
      <c r="BI62" s="1"/>
      <c r="BJ62" s="1"/>
      <c r="BK62" s="1"/>
      <c r="BL62" s="1"/>
      <c r="BM62" s="1"/>
      <c r="BN62" s="1"/>
      <c r="BO62" s="1"/>
      <c r="BP62" s="1"/>
      <c r="BQ62" s="1"/>
      <c r="BR62" s="1"/>
      <c r="BS62" s="1"/>
      <c r="BT62" s="1"/>
    </row>
    <row r="63" spans="1:72" ht="15.75" x14ac:dyDescent="0.25">
      <c r="A63" s="241" t="s">
        <v>88</v>
      </c>
      <c r="B63" s="242"/>
      <c r="C63" s="242"/>
      <c r="D63" s="242"/>
      <c r="E63" s="123" t="s">
        <v>87</v>
      </c>
      <c r="F63" s="128"/>
      <c r="G63" s="36">
        <v>2000</v>
      </c>
      <c r="H63" s="48">
        <f t="shared" ref="H63:H84" si="8">(F63*G63)</f>
        <v>0</v>
      </c>
      <c r="I63" s="49"/>
      <c r="J63" s="50"/>
      <c r="K63" s="51"/>
      <c r="L63" s="62"/>
      <c r="M63" s="16"/>
      <c r="N63" s="16"/>
      <c r="O63" s="16"/>
      <c r="P63" s="16"/>
      <c r="Q63" s="16"/>
      <c r="R63" s="16"/>
      <c r="S63" s="16"/>
      <c r="T63" s="16"/>
      <c r="U63" s="16"/>
      <c r="V63" s="16"/>
      <c r="W63" s="16"/>
      <c r="X63" s="16"/>
      <c r="Y63" s="1"/>
      <c r="Z63" s="120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  <c r="AY63" s="1"/>
      <c r="AZ63" s="1"/>
      <c r="BA63" s="1"/>
      <c r="BB63" s="1"/>
      <c r="BC63" s="1"/>
      <c r="BD63" s="1"/>
      <c r="BE63" s="1"/>
      <c r="BF63" s="1"/>
      <c r="BG63" s="1"/>
      <c r="BH63" s="1"/>
      <c r="BI63" s="1"/>
      <c r="BJ63" s="1"/>
      <c r="BK63" s="1"/>
      <c r="BL63" s="1"/>
      <c r="BM63" s="1"/>
      <c r="BN63" s="1"/>
      <c r="BO63" s="1"/>
      <c r="BP63" s="1"/>
      <c r="BQ63" s="1"/>
      <c r="BR63" s="1"/>
      <c r="BS63" s="1"/>
      <c r="BT63" s="1"/>
    </row>
    <row r="64" spans="1:72" ht="15.75" x14ac:dyDescent="0.25">
      <c r="A64" s="241" t="s">
        <v>89</v>
      </c>
      <c r="B64" s="242"/>
      <c r="C64" s="242"/>
      <c r="D64" s="242"/>
      <c r="E64" s="123" t="s">
        <v>87</v>
      </c>
      <c r="F64" s="128"/>
      <c r="G64" s="36">
        <v>7000</v>
      </c>
      <c r="H64" s="48">
        <f t="shared" si="8"/>
        <v>0</v>
      </c>
      <c r="I64" s="49"/>
      <c r="J64" s="50"/>
      <c r="K64" s="51"/>
      <c r="L64" s="62"/>
      <c r="M64" s="16"/>
      <c r="N64" s="16"/>
      <c r="O64" s="16"/>
      <c r="P64" s="16"/>
      <c r="Q64" s="16"/>
      <c r="R64" s="16"/>
      <c r="S64" s="16"/>
      <c r="T64" s="16"/>
      <c r="U64" s="16"/>
      <c r="V64" s="16"/>
      <c r="W64" s="16"/>
      <c r="X64" s="16"/>
      <c r="Y64" s="1"/>
      <c r="Z64" s="120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  <c r="AX64" s="1"/>
      <c r="AY64" s="1"/>
      <c r="AZ64" s="1"/>
      <c r="BA64" s="1"/>
      <c r="BB64" s="1"/>
      <c r="BC64" s="1"/>
      <c r="BD64" s="1"/>
      <c r="BE64" s="1"/>
      <c r="BF64" s="1"/>
      <c r="BG64" s="1"/>
      <c r="BH64" s="1"/>
      <c r="BI64" s="1"/>
      <c r="BJ64" s="1"/>
      <c r="BK64" s="1"/>
      <c r="BL64" s="1"/>
      <c r="BM64" s="1"/>
      <c r="BN64" s="1"/>
      <c r="BO64" s="1"/>
      <c r="BP64" s="1"/>
      <c r="BQ64" s="1"/>
      <c r="BR64" s="1"/>
      <c r="BS64" s="1"/>
      <c r="BT64" s="1"/>
    </row>
    <row r="65" spans="1:72" ht="15.75" x14ac:dyDescent="0.25">
      <c r="A65" s="241" t="s">
        <v>90</v>
      </c>
      <c r="B65" s="242"/>
      <c r="C65" s="242"/>
      <c r="D65" s="242"/>
      <c r="E65" s="123" t="s">
        <v>87</v>
      </c>
      <c r="F65" s="128"/>
      <c r="G65" s="36">
        <v>15200</v>
      </c>
      <c r="H65" s="48">
        <f t="shared" si="8"/>
        <v>0</v>
      </c>
      <c r="I65" s="49"/>
      <c r="J65" s="50"/>
      <c r="K65" s="51"/>
      <c r="L65" s="62"/>
      <c r="M65" s="16"/>
      <c r="N65" s="16"/>
      <c r="O65" s="16"/>
      <c r="P65" s="16"/>
      <c r="Q65" s="16"/>
      <c r="R65" s="16"/>
      <c r="S65" s="16"/>
      <c r="T65" s="16"/>
      <c r="U65" s="16"/>
      <c r="V65" s="16"/>
      <c r="W65" s="16"/>
      <c r="X65" s="16"/>
      <c r="Y65" s="1"/>
      <c r="Z65" s="120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  <c r="AX65" s="1"/>
      <c r="AY65" s="1"/>
      <c r="AZ65" s="1"/>
      <c r="BA65" s="1"/>
      <c r="BB65" s="1"/>
      <c r="BC65" s="1"/>
      <c r="BD65" s="1"/>
      <c r="BE65" s="1"/>
      <c r="BF65" s="1"/>
      <c r="BG65" s="1"/>
      <c r="BH65" s="1"/>
      <c r="BI65" s="1"/>
      <c r="BJ65" s="1"/>
      <c r="BK65" s="1"/>
      <c r="BL65" s="1"/>
      <c r="BM65" s="1"/>
      <c r="BN65" s="1"/>
      <c r="BO65" s="1"/>
      <c r="BP65" s="1"/>
      <c r="BQ65" s="1"/>
      <c r="BR65" s="1"/>
      <c r="BS65" s="1"/>
      <c r="BT65" s="1"/>
    </row>
    <row r="66" spans="1:72" ht="15.75" x14ac:dyDescent="0.25">
      <c r="A66" s="241" t="s">
        <v>91</v>
      </c>
      <c r="B66" s="242"/>
      <c r="C66" s="242"/>
      <c r="D66" s="242"/>
      <c r="E66" s="123" t="s">
        <v>87</v>
      </c>
      <c r="F66" s="128"/>
      <c r="G66" s="36">
        <v>2200</v>
      </c>
      <c r="H66" s="48">
        <f t="shared" si="8"/>
        <v>0</v>
      </c>
      <c r="I66" s="55"/>
      <c r="J66" s="50"/>
      <c r="K66" s="51"/>
      <c r="L66" s="62"/>
      <c r="M66" s="16"/>
      <c r="N66" s="16"/>
      <c r="O66" s="16"/>
      <c r="P66" s="16"/>
      <c r="Q66" s="16"/>
      <c r="R66" s="16"/>
      <c r="S66" s="16"/>
      <c r="T66" s="16"/>
      <c r="U66" s="16"/>
      <c r="V66" s="16"/>
      <c r="W66" s="16"/>
      <c r="X66" s="16"/>
      <c r="Y66" s="1"/>
      <c r="Z66" s="120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  <c r="AX66" s="1"/>
      <c r="AY66" s="1"/>
      <c r="AZ66" s="1"/>
      <c r="BA66" s="1"/>
      <c r="BB66" s="1"/>
      <c r="BC66" s="1"/>
      <c r="BD66" s="1"/>
      <c r="BE66" s="1"/>
      <c r="BF66" s="1"/>
      <c r="BG66" s="1"/>
      <c r="BH66" s="1"/>
      <c r="BI66" s="1"/>
      <c r="BJ66" s="1"/>
      <c r="BK66" s="1"/>
      <c r="BL66" s="1"/>
      <c r="BM66" s="1"/>
      <c r="BN66" s="1"/>
      <c r="BO66" s="1"/>
      <c r="BP66" s="1"/>
      <c r="BQ66" s="1"/>
      <c r="BR66" s="1"/>
      <c r="BS66" s="1"/>
      <c r="BT66" s="1"/>
    </row>
    <row r="67" spans="1:72" ht="15.75" x14ac:dyDescent="0.25">
      <c r="A67" s="241" t="s">
        <v>92</v>
      </c>
      <c r="B67" s="242"/>
      <c r="C67" s="242"/>
      <c r="D67" s="242"/>
      <c r="E67" s="123" t="s">
        <v>87</v>
      </c>
      <c r="F67" s="128"/>
      <c r="G67" s="36">
        <v>2000</v>
      </c>
      <c r="H67" s="48">
        <f t="shared" si="8"/>
        <v>0</v>
      </c>
      <c r="I67" s="49"/>
      <c r="J67" s="50"/>
      <c r="K67" s="51"/>
      <c r="L67" s="62"/>
      <c r="M67" s="16"/>
      <c r="N67" s="16"/>
      <c r="O67" s="16"/>
      <c r="P67" s="16"/>
      <c r="Q67" s="16"/>
      <c r="R67" s="16"/>
      <c r="S67" s="16"/>
      <c r="T67" s="16"/>
      <c r="U67" s="16"/>
      <c r="V67" s="16"/>
      <c r="W67" s="16"/>
      <c r="X67" s="16"/>
      <c r="Y67" s="1"/>
      <c r="Z67" s="120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  <c r="AX67" s="1"/>
      <c r="AY67" s="1"/>
      <c r="AZ67" s="1"/>
      <c r="BA67" s="1"/>
      <c r="BB67" s="1"/>
      <c r="BC67" s="1"/>
      <c r="BD67" s="1"/>
      <c r="BE67" s="1"/>
      <c r="BF67" s="1"/>
      <c r="BG67" s="1"/>
      <c r="BH67" s="1"/>
      <c r="BI67" s="1"/>
      <c r="BJ67" s="1"/>
      <c r="BK67" s="1"/>
      <c r="BL67" s="1"/>
      <c r="BM67" s="1"/>
      <c r="BN67" s="1"/>
      <c r="BO67" s="1"/>
      <c r="BP67" s="1"/>
      <c r="BQ67" s="1"/>
      <c r="BR67" s="1"/>
      <c r="BS67" s="1"/>
      <c r="BT67" s="1"/>
    </row>
    <row r="68" spans="1:72" ht="15.75" x14ac:dyDescent="0.25">
      <c r="A68" s="241" t="s">
        <v>93</v>
      </c>
      <c r="B68" s="242"/>
      <c r="C68" s="242"/>
      <c r="D68" s="242"/>
      <c r="E68" s="123" t="s">
        <v>87</v>
      </c>
      <c r="F68" s="128"/>
      <c r="G68" s="36">
        <v>2500</v>
      </c>
      <c r="H68" s="48">
        <f t="shared" si="8"/>
        <v>0</v>
      </c>
      <c r="I68" s="55"/>
      <c r="J68" s="50"/>
      <c r="K68" s="51"/>
      <c r="L68" s="62"/>
      <c r="M68" s="16"/>
      <c r="N68" s="16"/>
      <c r="O68" s="16"/>
      <c r="P68" s="16"/>
      <c r="Q68" s="16"/>
      <c r="R68" s="16"/>
      <c r="S68" s="16"/>
      <c r="T68" s="16"/>
      <c r="U68" s="16"/>
      <c r="V68" s="16"/>
      <c r="W68" s="16"/>
      <c r="X68" s="16"/>
      <c r="Y68" s="1"/>
      <c r="Z68" s="120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  <c r="AX68" s="1"/>
      <c r="AY68" s="1"/>
      <c r="AZ68" s="1"/>
      <c r="BA68" s="1"/>
      <c r="BB68" s="1"/>
      <c r="BC68" s="1"/>
      <c r="BD68" s="1"/>
      <c r="BE68" s="1"/>
      <c r="BF68" s="1"/>
      <c r="BG68" s="1"/>
      <c r="BH68" s="1"/>
      <c r="BI68" s="1"/>
      <c r="BJ68" s="1"/>
      <c r="BK68" s="1"/>
      <c r="BL68" s="1"/>
      <c r="BM68" s="1"/>
      <c r="BN68" s="1"/>
      <c r="BO68" s="1"/>
      <c r="BP68" s="1"/>
      <c r="BQ68" s="1"/>
      <c r="BR68" s="1"/>
      <c r="BS68" s="1"/>
      <c r="BT68" s="1"/>
    </row>
    <row r="69" spans="1:72" ht="15.75" x14ac:dyDescent="0.25">
      <c r="A69" s="241" t="s">
        <v>94</v>
      </c>
      <c r="B69" s="242"/>
      <c r="C69" s="242"/>
      <c r="D69" s="242"/>
      <c r="E69" s="123" t="s">
        <v>87</v>
      </c>
      <c r="F69" s="128"/>
      <c r="G69" s="36">
        <v>1600</v>
      </c>
      <c r="H69" s="48">
        <f t="shared" si="8"/>
        <v>0</v>
      </c>
      <c r="I69" s="49"/>
      <c r="J69" s="50"/>
      <c r="K69" s="51"/>
      <c r="L69" s="62"/>
      <c r="M69" s="16"/>
      <c r="N69" s="16"/>
      <c r="O69" s="16"/>
      <c r="P69" s="16"/>
      <c r="Q69" s="16"/>
      <c r="R69" s="16"/>
      <c r="S69" s="16"/>
      <c r="T69" s="16"/>
      <c r="U69" s="16"/>
      <c r="V69" s="16"/>
      <c r="W69" s="16"/>
      <c r="X69" s="16"/>
      <c r="Y69" s="1"/>
      <c r="Z69" s="120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  <c r="AX69" s="1"/>
      <c r="AY69" s="1"/>
      <c r="AZ69" s="1"/>
      <c r="BA69" s="1"/>
      <c r="BB69" s="1"/>
      <c r="BC69" s="1"/>
      <c r="BD69" s="1"/>
      <c r="BE69" s="1"/>
      <c r="BF69" s="1"/>
      <c r="BG69" s="1"/>
      <c r="BH69" s="1"/>
      <c r="BI69" s="1"/>
      <c r="BJ69" s="1"/>
      <c r="BK69" s="1"/>
      <c r="BL69" s="1"/>
      <c r="BM69" s="1"/>
      <c r="BN69" s="1"/>
      <c r="BO69" s="1"/>
      <c r="BP69" s="1"/>
      <c r="BQ69" s="1"/>
      <c r="BR69" s="1"/>
      <c r="BS69" s="1"/>
      <c r="BT69" s="1"/>
    </row>
    <row r="70" spans="1:72" ht="15.75" x14ac:dyDescent="0.25">
      <c r="A70" s="241" t="s">
        <v>95</v>
      </c>
      <c r="B70" s="242"/>
      <c r="C70" s="242"/>
      <c r="D70" s="242"/>
      <c r="E70" s="123" t="s">
        <v>87</v>
      </c>
      <c r="F70" s="128"/>
      <c r="G70" s="36">
        <v>1100</v>
      </c>
      <c r="H70" s="48">
        <f t="shared" si="8"/>
        <v>0</v>
      </c>
      <c r="I70" s="49"/>
      <c r="J70" s="50"/>
      <c r="K70" s="51"/>
      <c r="L70" s="62"/>
      <c r="M70" s="16"/>
      <c r="N70" s="16"/>
      <c r="O70" s="16"/>
      <c r="P70" s="16"/>
      <c r="Q70" s="16"/>
      <c r="R70" s="16"/>
      <c r="S70" s="16"/>
      <c r="T70" s="16"/>
      <c r="U70" s="16"/>
      <c r="V70" s="16"/>
      <c r="W70" s="16"/>
      <c r="X70" s="16"/>
      <c r="Y70" s="1"/>
      <c r="Z70" s="120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  <c r="AW70" s="1"/>
      <c r="AX70" s="1"/>
      <c r="AY70" s="1"/>
      <c r="AZ70" s="1"/>
      <c r="BA70" s="1"/>
      <c r="BB70" s="1"/>
      <c r="BC70" s="1"/>
      <c r="BD70" s="1"/>
      <c r="BE70" s="1"/>
      <c r="BF70" s="1"/>
      <c r="BG70" s="1"/>
      <c r="BH70" s="1"/>
      <c r="BI70" s="1"/>
      <c r="BJ70" s="1"/>
      <c r="BK70" s="1"/>
      <c r="BL70" s="1"/>
      <c r="BM70" s="1"/>
      <c r="BN70" s="1"/>
      <c r="BO70" s="1"/>
      <c r="BP70" s="1"/>
      <c r="BQ70" s="1"/>
      <c r="BR70" s="1"/>
      <c r="BS70" s="1"/>
      <c r="BT70" s="1"/>
    </row>
    <row r="71" spans="1:72" ht="15.75" x14ac:dyDescent="0.25">
      <c r="A71" s="241" t="s">
        <v>96</v>
      </c>
      <c r="B71" s="242"/>
      <c r="C71" s="242"/>
      <c r="D71" s="242"/>
      <c r="E71" s="123" t="s">
        <v>87</v>
      </c>
      <c r="F71" s="128"/>
      <c r="G71" s="36">
        <v>2700</v>
      </c>
      <c r="H71" s="48">
        <f t="shared" si="8"/>
        <v>0</v>
      </c>
      <c r="I71" s="59"/>
      <c r="J71" s="50"/>
      <c r="K71" s="51"/>
      <c r="L71" s="62"/>
      <c r="M71" s="16"/>
      <c r="N71" s="16"/>
      <c r="O71" s="16"/>
      <c r="P71" s="16"/>
      <c r="Q71" s="16"/>
      <c r="R71" s="16"/>
      <c r="S71" s="16"/>
      <c r="T71" s="16"/>
      <c r="U71" s="16"/>
      <c r="V71" s="16"/>
      <c r="W71" s="16"/>
      <c r="X71" s="16"/>
      <c r="Y71" s="1"/>
      <c r="Z71" s="120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  <c r="AW71" s="1"/>
      <c r="AX71" s="1"/>
      <c r="AY71" s="1"/>
      <c r="AZ71" s="1"/>
      <c r="BA71" s="1"/>
      <c r="BB71" s="1"/>
      <c r="BC71" s="1"/>
      <c r="BD71" s="1"/>
      <c r="BE71" s="1"/>
      <c r="BF71" s="1"/>
      <c r="BG71" s="1"/>
      <c r="BH71" s="1"/>
      <c r="BI71" s="1"/>
      <c r="BJ71" s="1"/>
      <c r="BK71" s="1"/>
      <c r="BL71" s="1"/>
      <c r="BM71" s="1"/>
      <c r="BN71" s="1"/>
      <c r="BO71" s="1"/>
      <c r="BP71" s="1"/>
      <c r="BQ71" s="1"/>
      <c r="BR71" s="1"/>
      <c r="BS71" s="1"/>
      <c r="BT71" s="1"/>
    </row>
    <row r="72" spans="1:72" ht="15.75" x14ac:dyDescent="0.25">
      <c r="A72" s="241" t="s">
        <v>97</v>
      </c>
      <c r="B72" s="242"/>
      <c r="C72" s="242"/>
      <c r="D72" s="242"/>
      <c r="E72" s="123" t="s">
        <v>87</v>
      </c>
      <c r="F72" s="128"/>
      <c r="G72" s="36">
        <v>2500</v>
      </c>
      <c r="H72" s="48">
        <f t="shared" si="8"/>
        <v>0</v>
      </c>
      <c r="I72" s="59"/>
      <c r="J72" s="50"/>
      <c r="K72" s="51"/>
      <c r="L72" s="62"/>
      <c r="M72" s="16"/>
      <c r="N72" s="16"/>
      <c r="O72" s="16"/>
      <c r="P72" s="16"/>
      <c r="Q72" s="16"/>
      <c r="R72" s="16"/>
      <c r="S72" s="16"/>
      <c r="T72" s="16"/>
      <c r="U72" s="16"/>
      <c r="V72" s="16"/>
      <c r="W72" s="16"/>
      <c r="X72" s="16"/>
      <c r="Y72" s="1"/>
      <c r="Z72" s="120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  <c r="AW72" s="1"/>
      <c r="AX72" s="1"/>
      <c r="AY72" s="1"/>
      <c r="AZ72" s="1"/>
      <c r="BA72" s="1"/>
      <c r="BB72" s="1"/>
      <c r="BC72" s="1"/>
      <c r="BD72" s="1"/>
      <c r="BE72" s="1"/>
      <c r="BF72" s="1"/>
      <c r="BG72" s="1"/>
      <c r="BH72" s="1"/>
      <c r="BI72" s="1"/>
      <c r="BJ72" s="1"/>
      <c r="BK72" s="1"/>
      <c r="BL72" s="1"/>
      <c r="BM72" s="1"/>
      <c r="BN72" s="1"/>
      <c r="BO72" s="1"/>
      <c r="BP72" s="1"/>
      <c r="BQ72" s="1"/>
      <c r="BR72" s="1"/>
      <c r="BS72" s="1"/>
      <c r="BT72" s="1"/>
    </row>
    <row r="73" spans="1:72" ht="15.75" x14ac:dyDescent="0.25">
      <c r="A73" s="241" t="s">
        <v>98</v>
      </c>
      <c r="B73" s="242"/>
      <c r="C73" s="242"/>
      <c r="D73" s="242"/>
      <c r="E73" s="123" t="s">
        <v>87</v>
      </c>
      <c r="F73" s="128"/>
      <c r="G73" s="36">
        <v>13373</v>
      </c>
      <c r="H73" s="48">
        <f t="shared" si="8"/>
        <v>0</v>
      </c>
      <c r="I73" s="59"/>
      <c r="J73" s="50"/>
      <c r="K73" s="51"/>
      <c r="L73" s="62"/>
      <c r="M73" s="16"/>
      <c r="N73" s="16"/>
      <c r="O73" s="16"/>
      <c r="P73" s="16"/>
      <c r="Q73" s="16"/>
      <c r="R73" s="16"/>
      <c r="S73" s="16"/>
      <c r="T73" s="16"/>
      <c r="U73" s="16"/>
      <c r="V73" s="16"/>
      <c r="W73" s="16"/>
      <c r="X73" s="16"/>
      <c r="Y73" s="1"/>
      <c r="Z73" s="120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  <c r="AW73" s="1"/>
      <c r="AX73" s="1"/>
      <c r="AY73" s="1"/>
      <c r="AZ73" s="1"/>
      <c r="BA73" s="1"/>
      <c r="BB73" s="1"/>
      <c r="BC73" s="1"/>
      <c r="BD73" s="1"/>
      <c r="BE73" s="1"/>
      <c r="BF73" s="1"/>
      <c r="BG73" s="1"/>
      <c r="BH73" s="1"/>
      <c r="BI73" s="1"/>
      <c r="BJ73" s="1"/>
      <c r="BK73" s="1"/>
      <c r="BL73" s="1"/>
      <c r="BM73" s="1"/>
      <c r="BN73" s="1"/>
      <c r="BO73" s="1"/>
      <c r="BP73" s="1"/>
      <c r="BQ73" s="1"/>
      <c r="BR73" s="1"/>
      <c r="BS73" s="1"/>
      <c r="BT73" s="1"/>
    </row>
    <row r="74" spans="1:72" ht="15.75" x14ac:dyDescent="0.25">
      <c r="A74" s="241" t="s">
        <v>99</v>
      </c>
      <c r="B74" s="242"/>
      <c r="C74" s="242"/>
      <c r="D74" s="242"/>
      <c r="E74" s="123" t="s">
        <v>87</v>
      </c>
      <c r="F74" s="128"/>
      <c r="G74" s="36">
        <v>800</v>
      </c>
      <c r="H74" s="48">
        <f t="shared" si="8"/>
        <v>0</v>
      </c>
      <c r="I74" s="59"/>
      <c r="J74" s="50"/>
      <c r="K74" s="51"/>
      <c r="L74" s="62"/>
      <c r="M74" s="16"/>
      <c r="N74" s="16"/>
      <c r="O74" s="16"/>
      <c r="P74" s="16"/>
      <c r="Q74" s="16"/>
      <c r="R74" s="16"/>
      <c r="S74" s="16"/>
      <c r="T74" s="16"/>
      <c r="U74" s="16"/>
      <c r="V74" s="16"/>
      <c r="W74" s="16"/>
      <c r="X74" s="16"/>
      <c r="Y74" s="1"/>
      <c r="Z74" s="120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  <c r="AV74" s="1"/>
      <c r="AW74" s="1"/>
      <c r="AX74" s="1"/>
      <c r="AY74" s="1"/>
      <c r="AZ74" s="1"/>
      <c r="BA74" s="1"/>
      <c r="BB74" s="1"/>
      <c r="BC74" s="1"/>
      <c r="BD74" s="1"/>
      <c r="BE74" s="1"/>
      <c r="BF74" s="1"/>
      <c r="BG74" s="1"/>
      <c r="BH74" s="1"/>
      <c r="BI74" s="1"/>
      <c r="BJ74" s="1"/>
      <c r="BK74" s="1"/>
      <c r="BL74" s="1"/>
      <c r="BM74" s="1"/>
      <c r="BN74" s="1"/>
      <c r="BO74" s="1"/>
      <c r="BP74" s="1"/>
      <c r="BQ74" s="1"/>
      <c r="BR74" s="1"/>
      <c r="BS74" s="1"/>
      <c r="BT74" s="1"/>
    </row>
    <row r="75" spans="1:72" ht="15.75" x14ac:dyDescent="0.25">
      <c r="A75" s="241" t="s">
        <v>156</v>
      </c>
      <c r="B75" s="242"/>
      <c r="C75" s="242"/>
      <c r="D75" s="242"/>
      <c r="E75" s="4" t="s">
        <v>87</v>
      </c>
      <c r="F75" s="128"/>
      <c r="G75" s="31">
        <v>1900</v>
      </c>
      <c r="H75" s="60">
        <f t="shared" si="8"/>
        <v>0</v>
      </c>
      <c r="I75" s="61"/>
      <c r="J75" s="50"/>
      <c r="K75" s="51"/>
      <c r="L75" s="62"/>
      <c r="M75" s="16"/>
      <c r="N75" s="16"/>
      <c r="O75" s="16"/>
      <c r="P75" s="16"/>
      <c r="Q75" s="16"/>
      <c r="R75" s="16"/>
      <c r="S75" s="16"/>
      <c r="T75" s="16"/>
      <c r="U75" s="16"/>
      <c r="V75" s="16"/>
      <c r="W75" s="16"/>
      <c r="X75" s="16"/>
      <c r="Y75" s="16"/>
      <c r="Z75" s="17"/>
      <c r="AA75" s="16"/>
      <c r="AB75" s="16"/>
      <c r="AC75" s="16"/>
      <c r="AD75" s="16"/>
      <c r="AE75" s="16"/>
      <c r="AF75" s="16"/>
      <c r="AG75" s="16"/>
      <c r="AH75" s="16"/>
      <c r="AI75" s="16"/>
      <c r="AJ75" s="16"/>
      <c r="AK75" s="16"/>
      <c r="AL75" s="16"/>
      <c r="AM75" s="16"/>
      <c r="AN75" s="16"/>
      <c r="AO75" s="16"/>
      <c r="AP75" s="16"/>
      <c r="AQ75" s="16"/>
      <c r="AR75" s="16"/>
      <c r="AS75" s="16"/>
      <c r="AT75" s="16"/>
      <c r="AU75" s="16"/>
      <c r="AV75" s="16"/>
      <c r="AW75" s="16"/>
      <c r="AX75" s="16"/>
      <c r="AY75" s="16"/>
      <c r="AZ75" s="16"/>
      <c r="BA75" s="16"/>
      <c r="BB75" s="16"/>
      <c r="BC75" s="16"/>
      <c r="BD75" s="16"/>
      <c r="BE75" s="16"/>
      <c r="BF75" s="16"/>
      <c r="BG75" s="16"/>
      <c r="BH75" s="16"/>
      <c r="BI75" s="16"/>
      <c r="BJ75" s="16"/>
      <c r="BK75" s="16"/>
      <c r="BL75" s="16"/>
      <c r="BM75" s="16"/>
      <c r="BN75" s="16"/>
      <c r="BO75" s="16"/>
      <c r="BP75" s="16"/>
      <c r="BQ75" s="16"/>
      <c r="BR75" s="16"/>
      <c r="BS75" s="16"/>
      <c r="BT75" s="16"/>
    </row>
    <row r="76" spans="1:72" ht="15.75" x14ac:dyDescent="0.25">
      <c r="A76" s="241" t="s">
        <v>101</v>
      </c>
      <c r="B76" s="242"/>
      <c r="C76" s="242"/>
      <c r="D76" s="242"/>
      <c r="E76" s="123" t="s">
        <v>87</v>
      </c>
      <c r="F76" s="128"/>
      <c r="G76" s="36">
        <v>2000</v>
      </c>
      <c r="H76" s="48">
        <f t="shared" si="8"/>
        <v>0</v>
      </c>
      <c r="I76" s="59"/>
      <c r="J76" s="50"/>
      <c r="K76" s="51"/>
      <c r="L76" s="62"/>
      <c r="M76" s="16"/>
      <c r="N76" s="16"/>
      <c r="O76" s="16"/>
      <c r="P76" s="16"/>
      <c r="Q76" s="16"/>
      <c r="R76" s="16"/>
      <c r="S76" s="16"/>
      <c r="T76" s="16"/>
      <c r="U76" s="16"/>
      <c r="V76" s="16"/>
      <c r="W76" s="16"/>
      <c r="X76" s="16"/>
      <c r="Y76" s="1"/>
      <c r="Z76" s="120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  <c r="AV76" s="1"/>
      <c r="AW76" s="1"/>
      <c r="AX76" s="1"/>
      <c r="AY76" s="1"/>
      <c r="AZ76" s="1"/>
      <c r="BA76" s="1"/>
      <c r="BB76" s="1"/>
      <c r="BC76" s="1"/>
      <c r="BD76" s="1"/>
      <c r="BE76" s="1"/>
      <c r="BF76" s="1"/>
      <c r="BG76" s="1"/>
      <c r="BH76" s="1"/>
      <c r="BI76" s="1"/>
      <c r="BJ76" s="1"/>
      <c r="BK76" s="1"/>
      <c r="BL76" s="1"/>
      <c r="BM76" s="1"/>
      <c r="BN76" s="1"/>
      <c r="BO76" s="1"/>
      <c r="BP76" s="1"/>
      <c r="BQ76" s="1"/>
      <c r="BR76" s="1"/>
      <c r="BS76" s="1"/>
      <c r="BT76" s="1"/>
    </row>
    <row r="77" spans="1:72" ht="15.75" x14ac:dyDescent="0.25">
      <c r="A77" s="241" t="s">
        <v>102</v>
      </c>
      <c r="B77" s="242"/>
      <c r="C77" s="242"/>
      <c r="D77" s="242"/>
      <c r="E77" s="123" t="s">
        <v>87</v>
      </c>
      <c r="F77" s="128"/>
      <c r="G77" s="36">
        <v>200</v>
      </c>
      <c r="H77" s="48">
        <f t="shared" si="8"/>
        <v>0</v>
      </c>
      <c r="I77" s="59"/>
      <c r="J77" s="50"/>
      <c r="K77" s="51"/>
      <c r="L77" s="62"/>
      <c r="M77" s="16"/>
      <c r="N77" s="16"/>
      <c r="O77" s="16"/>
      <c r="P77" s="16"/>
      <c r="Q77" s="16"/>
      <c r="R77" s="16"/>
      <c r="S77" s="16"/>
      <c r="T77" s="16"/>
      <c r="U77" s="16"/>
      <c r="V77" s="16"/>
      <c r="W77" s="16"/>
      <c r="X77" s="16"/>
      <c r="Y77" s="1"/>
      <c r="Z77" s="120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  <c r="AV77" s="1"/>
      <c r="AW77" s="1"/>
      <c r="AX77" s="1"/>
      <c r="AY77" s="1"/>
      <c r="AZ77" s="1"/>
      <c r="BA77" s="1"/>
      <c r="BB77" s="1"/>
      <c r="BC77" s="1"/>
      <c r="BD77" s="1"/>
      <c r="BE77" s="1"/>
      <c r="BF77" s="1"/>
      <c r="BG77" s="1"/>
      <c r="BH77" s="1"/>
      <c r="BI77" s="1"/>
      <c r="BJ77" s="1"/>
      <c r="BK77" s="1"/>
      <c r="BL77" s="1"/>
      <c r="BM77" s="1"/>
      <c r="BN77" s="1"/>
      <c r="BO77" s="1"/>
      <c r="BP77" s="1"/>
      <c r="BQ77" s="1"/>
      <c r="BR77" s="1"/>
      <c r="BS77" s="1"/>
      <c r="BT77" s="1"/>
    </row>
    <row r="78" spans="1:72" ht="15.75" x14ac:dyDescent="0.25">
      <c r="A78" s="241" t="s">
        <v>103</v>
      </c>
      <c r="B78" s="242"/>
      <c r="C78" s="242"/>
      <c r="D78" s="242"/>
      <c r="E78" s="123" t="s">
        <v>87</v>
      </c>
      <c r="F78" s="128"/>
      <c r="G78" s="36">
        <v>1100</v>
      </c>
      <c r="H78" s="48">
        <f t="shared" si="8"/>
        <v>0</v>
      </c>
      <c r="I78" s="59"/>
      <c r="J78" s="50"/>
      <c r="K78" s="51"/>
      <c r="L78" s="62"/>
      <c r="M78" s="16"/>
      <c r="N78" s="16"/>
      <c r="O78" s="16"/>
      <c r="P78" s="16"/>
      <c r="Q78" s="16"/>
      <c r="R78" s="16"/>
      <c r="S78" s="16"/>
      <c r="T78" s="16"/>
      <c r="U78" s="16"/>
      <c r="V78" s="16"/>
      <c r="W78" s="16"/>
      <c r="X78" s="16"/>
      <c r="Y78" s="1"/>
      <c r="Z78" s="120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  <c r="AV78" s="1"/>
      <c r="AW78" s="1"/>
      <c r="AX78" s="1"/>
      <c r="AY78" s="1"/>
      <c r="AZ78" s="1"/>
      <c r="BA78" s="1"/>
      <c r="BB78" s="1"/>
      <c r="BC78" s="1"/>
      <c r="BD78" s="1"/>
      <c r="BE78" s="1"/>
      <c r="BF78" s="1"/>
      <c r="BG78" s="1"/>
      <c r="BH78" s="1"/>
      <c r="BI78" s="1"/>
      <c r="BJ78" s="1"/>
      <c r="BK78" s="1"/>
      <c r="BL78" s="1"/>
      <c r="BM78" s="1"/>
      <c r="BN78" s="1"/>
      <c r="BO78" s="1"/>
      <c r="BP78" s="1"/>
      <c r="BQ78" s="1"/>
      <c r="BR78" s="1"/>
      <c r="BS78" s="1"/>
      <c r="BT78" s="1"/>
    </row>
    <row r="79" spans="1:72" ht="15.75" x14ac:dyDescent="0.25">
      <c r="A79" s="241" t="s">
        <v>104</v>
      </c>
      <c r="B79" s="242"/>
      <c r="C79" s="242"/>
      <c r="D79" s="242"/>
      <c r="E79" s="123" t="s">
        <v>87</v>
      </c>
      <c r="F79" s="128"/>
      <c r="G79" s="36">
        <v>2200</v>
      </c>
      <c r="H79" s="48">
        <f t="shared" si="8"/>
        <v>0</v>
      </c>
      <c r="I79" s="59"/>
      <c r="J79" s="50"/>
      <c r="K79" s="51"/>
      <c r="L79" s="62"/>
      <c r="M79" s="16"/>
      <c r="N79" s="16"/>
      <c r="O79" s="16"/>
      <c r="P79" s="16"/>
      <c r="Q79" s="16"/>
      <c r="R79" s="16"/>
      <c r="S79" s="16"/>
      <c r="T79" s="16"/>
      <c r="U79" s="16"/>
      <c r="V79" s="16"/>
      <c r="W79" s="16"/>
      <c r="X79" s="16"/>
      <c r="Y79" s="1"/>
      <c r="Z79" s="120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  <c r="AV79" s="1"/>
      <c r="AW79" s="1"/>
      <c r="AX79" s="1"/>
      <c r="AY79" s="1"/>
      <c r="AZ79" s="1"/>
      <c r="BA79" s="1"/>
      <c r="BB79" s="1"/>
      <c r="BC79" s="1"/>
      <c r="BD79" s="1"/>
      <c r="BE79" s="1"/>
      <c r="BF79" s="1"/>
      <c r="BG79" s="1"/>
      <c r="BH79" s="1"/>
      <c r="BI79" s="1"/>
      <c r="BJ79" s="1"/>
      <c r="BK79" s="1"/>
      <c r="BL79" s="1"/>
      <c r="BM79" s="1"/>
      <c r="BN79" s="1"/>
      <c r="BO79" s="1"/>
      <c r="BP79" s="1"/>
      <c r="BQ79" s="1"/>
      <c r="BR79" s="1"/>
      <c r="BS79" s="1"/>
      <c r="BT79" s="1"/>
    </row>
    <row r="80" spans="1:72" ht="15.75" x14ac:dyDescent="0.25">
      <c r="A80" s="241" t="s">
        <v>105</v>
      </c>
      <c r="B80" s="242"/>
      <c r="C80" s="242"/>
      <c r="D80" s="242"/>
      <c r="E80" s="4" t="s">
        <v>87</v>
      </c>
      <c r="F80" s="128"/>
      <c r="G80" s="31">
        <v>1420</v>
      </c>
      <c r="H80" s="60">
        <f t="shared" si="8"/>
        <v>0</v>
      </c>
      <c r="I80" s="64"/>
      <c r="J80" s="50"/>
      <c r="K80" s="51"/>
      <c r="L80" s="62"/>
      <c r="M80" s="16"/>
      <c r="N80" s="16"/>
      <c r="O80" s="16"/>
      <c r="P80" s="16"/>
      <c r="Q80" s="16"/>
      <c r="R80" s="16"/>
      <c r="S80" s="16"/>
      <c r="T80" s="16"/>
      <c r="U80" s="16"/>
      <c r="V80" s="16"/>
      <c r="W80" s="16"/>
      <c r="X80" s="16"/>
      <c r="Y80" s="1"/>
      <c r="Z80" s="120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  <c r="AU80" s="1"/>
      <c r="AV80" s="1"/>
      <c r="AW80" s="1"/>
      <c r="AX80" s="1"/>
      <c r="AY80" s="1"/>
      <c r="AZ80" s="1"/>
      <c r="BA80" s="1"/>
      <c r="BB80" s="1"/>
      <c r="BC80" s="1"/>
      <c r="BD80" s="1"/>
      <c r="BE80" s="1"/>
      <c r="BF80" s="1"/>
      <c r="BG80" s="1"/>
      <c r="BH80" s="1"/>
      <c r="BI80" s="1"/>
      <c r="BJ80" s="1"/>
      <c r="BK80" s="1"/>
      <c r="BL80" s="1"/>
      <c r="BM80" s="1"/>
      <c r="BN80" s="1"/>
      <c r="BO80" s="1"/>
      <c r="BP80" s="1"/>
      <c r="BQ80" s="1"/>
      <c r="BR80" s="1"/>
      <c r="BS80" s="1"/>
      <c r="BT80" s="1"/>
    </row>
    <row r="81" spans="1:72" ht="15.75" x14ac:dyDescent="0.25">
      <c r="A81" s="241" t="s">
        <v>153</v>
      </c>
      <c r="B81" s="242"/>
      <c r="C81" s="242"/>
      <c r="D81" s="242"/>
      <c r="E81" s="4" t="s">
        <v>87</v>
      </c>
      <c r="F81" s="128"/>
      <c r="G81" s="31">
        <v>15200</v>
      </c>
      <c r="H81" s="60">
        <f t="shared" si="8"/>
        <v>0</v>
      </c>
      <c r="I81" s="165"/>
      <c r="J81" s="66"/>
      <c r="K81" s="67"/>
      <c r="L81" s="62"/>
      <c r="M81" s="16"/>
      <c r="N81" s="16"/>
      <c r="O81" s="16"/>
      <c r="P81" s="16"/>
      <c r="Q81" s="16"/>
      <c r="R81" s="16"/>
      <c r="S81" s="16"/>
      <c r="T81" s="16"/>
      <c r="U81" s="16"/>
      <c r="V81" s="16"/>
      <c r="W81" s="16"/>
      <c r="X81" s="16"/>
      <c r="Y81" s="1"/>
      <c r="Z81" s="120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  <c r="AV81" s="1"/>
      <c r="AW81" s="1"/>
      <c r="AX81" s="1"/>
      <c r="AY81" s="1"/>
      <c r="AZ81" s="1"/>
      <c r="BA81" s="1"/>
      <c r="BB81" s="1"/>
      <c r="BC81" s="1"/>
      <c r="BD81" s="1"/>
      <c r="BE81" s="1"/>
      <c r="BF81" s="1"/>
      <c r="BG81" s="1"/>
      <c r="BH81" s="1"/>
      <c r="BI81" s="1"/>
      <c r="BJ81" s="1"/>
      <c r="BK81" s="1"/>
      <c r="BL81" s="1"/>
      <c r="BM81" s="1"/>
      <c r="BN81" s="1"/>
      <c r="BO81" s="1"/>
      <c r="BP81" s="1"/>
      <c r="BQ81" s="1"/>
      <c r="BR81" s="1"/>
      <c r="BS81" s="1"/>
      <c r="BT81" s="1"/>
    </row>
    <row r="82" spans="1:72" ht="15.75" x14ac:dyDescent="0.25">
      <c r="A82" s="241" t="s">
        <v>155</v>
      </c>
      <c r="B82" s="242"/>
      <c r="C82" s="242"/>
      <c r="D82" s="242"/>
      <c r="E82" s="4" t="s">
        <v>87</v>
      </c>
      <c r="F82" s="128"/>
      <c r="G82" s="31">
        <v>5800</v>
      </c>
      <c r="H82" s="60">
        <f t="shared" si="8"/>
        <v>0</v>
      </c>
      <c r="I82" s="165"/>
      <c r="J82" s="66"/>
      <c r="K82" s="67"/>
      <c r="L82" s="62"/>
      <c r="M82" s="16"/>
      <c r="N82" s="16"/>
      <c r="O82" s="16"/>
      <c r="P82" s="16"/>
      <c r="Q82" s="16"/>
      <c r="R82" s="16"/>
      <c r="S82" s="16"/>
      <c r="T82" s="16"/>
      <c r="U82" s="16"/>
      <c r="V82" s="16"/>
      <c r="W82" s="16"/>
      <c r="X82" s="16"/>
      <c r="Y82" s="1"/>
      <c r="Z82" s="120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  <c r="AV82" s="1"/>
      <c r="AW82" s="1"/>
      <c r="AX82" s="1"/>
      <c r="AY82" s="1"/>
      <c r="AZ82" s="1"/>
      <c r="BA82" s="1"/>
      <c r="BB82" s="1"/>
      <c r="BC82" s="1"/>
      <c r="BD82" s="1"/>
      <c r="BE82" s="1"/>
      <c r="BF82" s="1"/>
      <c r="BG82" s="1"/>
      <c r="BH82" s="1"/>
      <c r="BI82" s="1"/>
      <c r="BJ82" s="1"/>
      <c r="BK82" s="1"/>
      <c r="BL82" s="1"/>
      <c r="BM82" s="1"/>
      <c r="BN82" s="1"/>
      <c r="BO82" s="1"/>
      <c r="BP82" s="1"/>
      <c r="BQ82" s="1"/>
      <c r="BR82" s="1"/>
      <c r="BS82" s="1"/>
      <c r="BT82" s="1"/>
    </row>
    <row r="83" spans="1:72" ht="15.75" x14ac:dyDescent="0.25">
      <c r="A83" s="241"/>
      <c r="B83" s="242"/>
      <c r="C83" s="242"/>
      <c r="D83" s="242"/>
      <c r="E83" s="4" t="s">
        <v>87</v>
      </c>
      <c r="F83" s="128"/>
      <c r="G83" s="31"/>
      <c r="H83" s="60">
        <f t="shared" si="8"/>
        <v>0</v>
      </c>
      <c r="I83" s="165"/>
      <c r="J83" s="66"/>
      <c r="K83" s="67"/>
      <c r="L83" s="62"/>
      <c r="M83" s="16"/>
      <c r="N83" s="16"/>
      <c r="O83" s="16"/>
      <c r="P83" s="16"/>
      <c r="Q83" s="16"/>
      <c r="R83" s="16"/>
      <c r="S83" s="16"/>
      <c r="T83" s="16"/>
      <c r="U83" s="16"/>
      <c r="V83" s="16"/>
      <c r="W83" s="16"/>
      <c r="X83" s="16"/>
      <c r="Y83" s="1"/>
      <c r="Z83" s="120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  <c r="AV83" s="1"/>
      <c r="AW83" s="1"/>
      <c r="AX83" s="1"/>
      <c r="AY83" s="1"/>
      <c r="AZ83" s="1"/>
      <c r="BA83" s="1"/>
      <c r="BB83" s="1"/>
      <c r="BC83" s="1"/>
      <c r="BD83" s="1"/>
      <c r="BE83" s="1"/>
      <c r="BF83" s="1"/>
      <c r="BG83" s="1"/>
      <c r="BH83" s="1"/>
      <c r="BI83" s="1"/>
      <c r="BJ83" s="1"/>
      <c r="BK83" s="1"/>
      <c r="BL83" s="1"/>
      <c r="BM83" s="1"/>
      <c r="BN83" s="1"/>
      <c r="BO83" s="1"/>
      <c r="BP83" s="1"/>
      <c r="BQ83" s="1"/>
      <c r="BR83" s="1"/>
      <c r="BS83" s="1"/>
      <c r="BT83" s="1"/>
    </row>
    <row r="84" spans="1:72" ht="15.75" x14ac:dyDescent="0.25">
      <c r="A84" s="241" t="s">
        <v>154</v>
      </c>
      <c r="B84" s="242"/>
      <c r="C84" s="242"/>
      <c r="D84" s="242"/>
      <c r="E84" s="4" t="s">
        <v>87</v>
      </c>
      <c r="F84" s="128"/>
      <c r="G84" s="31">
        <v>15000</v>
      </c>
      <c r="H84" s="60">
        <f t="shared" si="8"/>
        <v>0</v>
      </c>
      <c r="I84" s="165"/>
      <c r="J84" s="66"/>
      <c r="K84" s="67"/>
      <c r="L84" s="62"/>
      <c r="M84" s="16"/>
      <c r="N84" s="16"/>
      <c r="O84" s="16"/>
      <c r="P84" s="16"/>
      <c r="Q84" s="16"/>
      <c r="R84" s="16"/>
      <c r="S84" s="16"/>
      <c r="T84" s="16"/>
      <c r="U84" s="16"/>
      <c r="V84" s="16"/>
      <c r="W84" s="16"/>
      <c r="X84" s="16"/>
      <c r="Y84" s="1"/>
      <c r="Z84" s="120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  <c r="AV84" s="1"/>
      <c r="AW84" s="1"/>
      <c r="AX84" s="1"/>
      <c r="AY84" s="1"/>
      <c r="AZ84" s="1"/>
      <c r="BA84" s="1"/>
      <c r="BB84" s="1"/>
      <c r="BC84" s="1"/>
      <c r="BD84" s="1"/>
      <c r="BE84" s="1"/>
      <c r="BF84" s="1"/>
      <c r="BG84" s="1"/>
      <c r="BH84" s="1"/>
      <c r="BI84" s="1"/>
      <c r="BJ84" s="1"/>
      <c r="BK84" s="1"/>
      <c r="BL84" s="1"/>
      <c r="BM84" s="1"/>
      <c r="BN84" s="1"/>
      <c r="BO84" s="1"/>
      <c r="BP84" s="1"/>
      <c r="BQ84" s="1"/>
      <c r="BR84" s="1"/>
      <c r="BS84" s="1"/>
      <c r="BT84" s="1"/>
    </row>
    <row r="85" spans="1:72" ht="16.5" thickBot="1" x14ac:dyDescent="0.3">
      <c r="A85" s="241" t="s">
        <v>106</v>
      </c>
      <c r="B85" s="242"/>
      <c r="C85" s="242"/>
      <c r="D85" s="242"/>
      <c r="E85" s="123" t="s">
        <v>87</v>
      </c>
      <c r="F85" s="128"/>
      <c r="G85" s="36">
        <v>383.5</v>
      </c>
      <c r="H85" s="99">
        <f>(F85*G85)</f>
        <v>0</v>
      </c>
      <c r="I85" s="65"/>
      <c r="J85" s="66"/>
      <c r="K85" s="67"/>
      <c r="L85" s="62"/>
      <c r="M85" s="16"/>
      <c r="N85" s="16"/>
      <c r="O85" s="16"/>
      <c r="P85" s="16"/>
      <c r="Q85" s="16"/>
      <c r="R85" s="16"/>
      <c r="S85" s="16"/>
      <c r="T85" s="16"/>
      <c r="U85" s="16"/>
      <c r="V85" s="16"/>
      <c r="W85" s="16"/>
      <c r="X85" s="16"/>
      <c r="Y85" s="1"/>
      <c r="Z85" s="120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  <c r="AV85" s="1"/>
      <c r="AW85" s="1"/>
      <c r="AX85" s="1"/>
      <c r="AY85" s="1"/>
      <c r="AZ85" s="1"/>
      <c r="BA85" s="1"/>
      <c r="BB85" s="1"/>
      <c r="BC85" s="1"/>
      <c r="BD85" s="1"/>
      <c r="BE85" s="1"/>
      <c r="BF85" s="1"/>
      <c r="BG85" s="1"/>
      <c r="BH85" s="1"/>
      <c r="BI85" s="1"/>
      <c r="BJ85" s="1"/>
      <c r="BK85" s="1"/>
      <c r="BL85" s="1"/>
      <c r="BM85" s="1"/>
      <c r="BN85" s="1"/>
      <c r="BO85" s="1"/>
      <c r="BP85" s="1"/>
      <c r="BQ85" s="1"/>
      <c r="BR85" s="1"/>
      <c r="BS85" s="1"/>
      <c r="BT85" s="1"/>
    </row>
    <row r="86" spans="1:72" ht="16.5" thickBot="1" x14ac:dyDescent="0.3">
      <c r="A86" s="16"/>
      <c r="B86" s="16"/>
      <c r="C86" s="16"/>
      <c r="D86" s="16"/>
      <c r="E86" s="16"/>
      <c r="F86" s="18"/>
      <c r="G86" s="125" t="s">
        <v>107</v>
      </c>
      <c r="H86" s="110">
        <f>SUM(H62:H85)</f>
        <v>0</v>
      </c>
      <c r="I86" s="68"/>
      <c r="J86" s="69"/>
      <c r="K86" s="70"/>
      <c r="L86" s="135"/>
      <c r="M86" s="7"/>
      <c r="N86" s="7"/>
      <c r="O86" s="16"/>
      <c r="P86" s="16"/>
      <c r="Q86" s="16"/>
      <c r="R86" s="16"/>
      <c r="S86" s="16"/>
      <c r="T86" s="16"/>
      <c r="U86" s="16"/>
      <c r="V86" s="16"/>
      <c r="W86" s="16"/>
      <c r="X86" s="16"/>
      <c r="Y86" s="1"/>
      <c r="Z86" s="120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/>
      <c r="AV86" s="1"/>
      <c r="AW86" s="1"/>
      <c r="AX86" s="1"/>
      <c r="AY86" s="1"/>
      <c r="AZ86" s="1"/>
      <c r="BA86" s="1"/>
      <c r="BB86" s="1"/>
      <c r="BC86" s="1"/>
      <c r="BD86" s="1"/>
      <c r="BE86" s="1"/>
      <c r="BF86" s="1"/>
      <c r="BG86" s="1"/>
      <c r="BH86" s="1"/>
      <c r="BI86" s="1"/>
      <c r="BJ86" s="1"/>
      <c r="BK86" s="1"/>
      <c r="BL86" s="1"/>
      <c r="BM86" s="1"/>
      <c r="BN86" s="1"/>
      <c r="BO86" s="1"/>
      <c r="BP86" s="1"/>
      <c r="BQ86" s="1"/>
      <c r="BR86" s="1"/>
      <c r="BS86" s="1"/>
      <c r="BT86" s="1"/>
    </row>
    <row r="87" spans="1:72" ht="15.75" x14ac:dyDescent="0.25">
      <c r="A87" s="16"/>
      <c r="B87" s="16"/>
      <c r="C87" s="16"/>
      <c r="D87" s="16"/>
      <c r="E87" s="16"/>
      <c r="F87" s="7"/>
      <c r="G87" s="38"/>
      <c r="H87" s="22"/>
      <c r="I87" s="71"/>
      <c r="J87" s="18"/>
      <c r="K87" s="137"/>
      <c r="L87" s="136"/>
      <c r="M87" s="7"/>
      <c r="N87" s="7"/>
      <c r="O87" s="16"/>
      <c r="P87" s="16"/>
      <c r="Q87" s="16"/>
      <c r="R87" s="16"/>
      <c r="S87" s="16"/>
      <c r="T87" s="16"/>
      <c r="U87" s="16"/>
      <c r="V87" s="16"/>
      <c r="W87" s="16"/>
      <c r="X87" s="16"/>
      <c r="Y87" s="1"/>
      <c r="Z87" s="120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  <c r="AV87" s="1"/>
      <c r="AW87" s="1"/>
      <c r="AX87" s="1"/>
      <c r="AY87" s="1"/>
      <c r="AZ87" s="1"/>
      <c r="BA87" s="1"/>
      <c r="BB87" s="1"/>
      <c r="BC87" s="1"/>
      <c r="BD87" s="1"/>
      <c r="BE87" s="1"/>
      <c r="BF87" s="1"/>
      <c r="BG87" s="1"/>
      <c r="BH87" s="1"/>
      <c r="BI87" s="1"/>
      <c r="BJ87" s="1"/>
      <c r="BK87" s="1"/>
      <c r="BL87" s="1"/>
      <c r="BM87" s="1"/>
      <c r="BN87" s="1"/>
      <c r="BO87" s="1"/>
      <c r="BP87" s="1"/>
      <c r="BQ87" s="1"/>
      <c r="BR87" s="1"/>
      <c r="BS87" s="1"/>
      <c r="BT87" s="1"/>
    </row>
    <row r="88" spans="1:72" ht="15.75" x14ac:dyDescent="0.25">
      <c r="A88" s="16"/>
      <c r="B88" s="16"/>
      <c r="C88" s="16"/>
      <c r="D88" s="16"/>
      <c r="E88" s="138">
        <v>0</v>
      </c>
      <c r="F88" s="7"/>
      <c r="G88" s="38"/>
      <c r="H88" s="142">
        <f>+E88</f>
        <v>0</v>
      </c>
      <c r="I88" s="264" t="s">
        <v>130</v>
      </c>
      <c r="J88" s="257" t="s">
        <v>108</v>
      </c>
      <c r="K88" s="259"/>
      <c r="L88" s="16"/>
      <c r="M88" s="7"/>
      <c r="N88" s="260"/>
      <c r="O88" s="16"/>
      <c r="P88" s="16"/>
      <c r="Q88" s="16"/>
      <c r="R88" s="16"/>
      <c r="S88" s="16"/>
      <c r="T88" s="16"/>
      <c r="U88" s="16"/>
      <c r="V88" s="16"/>
      <c r="W88" s="16"/>
      <c r="X88" s="16"/>
      <c r="Y88" s="1"/>
      <c r="Z88" s="120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"/>
      <c r="AV88" s="1"/>
      <c r="AW88" s="1"/>
      <c r="AX88" s="1"/>
      <c r="AY88" s="1"/>
      <c r="AZ88" s="1"/>
      <c r="BA88" s="1"/>
      <c r="BB88" s="1"/>
      <c r="BC88" s="1"/>
      <c r="BD88" s="1"/>
      <c r="BE88" s="1"/>
      <c r="BF88" s="1"/>
      <c r="BG88" s="1"/>
      <c r="BH88" s="1"/>
      <c r="BI88" s="1"/>
      <c r="BJ88" s="1"/>
      <c r="BK88" s="1"/>
      <c r="BL88" s="1"/>
      <c r="BM88" s="1"/>
      <c r="BN88" s="1"/>
      <c r="BO88" s="1"/>
      <c r="BP88" s="1"/>
      <c r="BQ88" s="1"/>
      <c r="BR88" s="1"/>
      <c r="BS88" s="1"/>
      <c r="BT88" s="1"/>
    </row>
    <row r="89" spans="1:72" ht="15.75" x14ac:dyDescent="0.25">
      <c r="A89" s="16"/>
      <c r="B89" s="16"/>
      <c r="C89" s="16"/>
      <c r="D89" s="16"/>
      <c r="E89" s="16"/>
      <c r="F89" s="261" t="s">
        <v>109</v>
      </c>
      <c r="G89" s="262"/>
      <c r="H89" s="73">
        <f>H59+H86</f>
        <v>8273.4599999999991</v>
      </c>
      <c r="I89" s="265"/>
      <c r="J89" s="258"/>
      <c r="K89" s="259"/>
      <c r="L89" s="16"/>
      <c r="M89" s="7"/>
      <c r="N89" s="260"/>
      <c r="O89" s="16"/>
      <c r="P89" s="16"/>
      <c r="Q89" s="16"/>
      <c r="R89" s="16"/>
      <c r="S89" s="16"/>
      <c r="T89" s="16"/>
      <c r="U89" s="16"/>
      <c r="V89" s="16"/>
      <c r="W89" s="16"/>
      <c r="X89" s="16"/>
      <c r="Y89" s="1"/>
      <c r="Z89" s="120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  <c r="AV89" s="1"/>
      <c r="AW89" s="1"/>
      <c r="AX89" s="1"/>
      <c r="AY89" s="1"/>
      <c r="AZ89" s="1"/>
      <c r="BA89" s="1"/>
      <c r="BB89" s="1"/>
      <c r="BC89" s="1"/>
      <c r="BD89" s="1"/>
      <c r="BE89" s="1"/>
      <c r="BF89" s="1"/>
      <c r="BG89" s="1"/>
      <c r="BH89" s="1"/>
      <c r="BI89" s="1"/>
      <c r="BJ89" s="1"/>
      <c r="BK89" s="1"/>
      <c r="BL89" s="1"/>
      <c r="BM89" s="1"/>
      <c r="BN89" s="1"/>
      <c r="BO89" s="1"/>
      <c r="BP89" s="1"/>
      <c r="BQ89" s="1"/>
      <c r="BR89" s="1"/>
      <c r="BS89" s="1"/>
      <c r="BT89" s="1"/>
    </row>
    <row r="90" spans="1:72" ht="15.75" x14ac:dyDescent="0.25">
      <c r="A90" s="16"/>
      <c r="B90" s="16"/>
      <c r="C90" s="16"/>
      <c r="D90" s="16"/>
      <c r="E90" s="27"/>
      <c r="F90" s="74" t="s">
        <v>110</v>
      </c>
      <c r="G90" s="75">
        <v>0.3</v>
      </c>
      <c r="H90" s="116">
        <f>H89*G90</f>
        <v>2482.0379999999996</v>
      </c>
      <c r="I90" s="115">
        <f>+M96</f>
        <v>155.9971620000002</v>
      </c>
      <c r="J90" s="117">
        <f>H90-M96</f>
        <v>2326.0408379999994</v>
      </c>
      <c r="K90" s="9"/>
      <c r="L90" s="9"/>
      <c r="M90" s="9"/>
      <c r="N90" s="126" t="s">
        <v>132</v>
      </c>
      <c r="O90" s="126"/>
      <c r="P90" s="16"/>
      <c r="Q90" s="16"/>
      <c r="R90" s="16"/>
      <c r="S90" s="16"/>
      <c r="T90" s="16"/>
      <c r="U90" s="16"/>
      <c r="V90" s="16"/>
      <c r="W90" s="16"/>
      <c r="X90" s="16"/>
      <c r="Y90" s="1"/>
      <c r="Z90" s="120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  <c r="AV90" s="1"/>
      <c r="AW90" s="1"/>
      <c r="AX90" s="1"/>
      <c r="AY90" s="1"/>
      <c r="AZ90" s="1"/>
      <c r="BA90" s="1"/>
      <c r="BB90" s="1"/>
      <c r="BC90" s="1"/>
      <c r="BD90" s="1"/>
      <c r="BE90" s="1"/>
      <c r="BF90" s="1"/>
      <c r="BG90" s="1"/>
      <c r="BH90" s="1"/>
      <c r="BI90" s="1"/>
      <c r="BJ90" s="1"/>
      <c r="BK90" s="1"/>
      <c r="BL90" s="1"/>
      <c r="BM90" s="1"/>
      <c r="BN90" s="1"/>
      <c r="BO90" s="1"/>
      <c r="BP90" s="1"/>
      <c r="BQ90" s="1"/>
      <c r="BR90" s="1"/>
      <c r="BS90" s="1"/>
      <c r="BT90" s="1"/>
    </row>
    <row r="91" spans="1:72" ht="15.75" x14ac:dyDescent="0.25">
      <c r="A91" s="16"/>
      <c r="B91" s="16"/>
      <c r="C91" s="16"/>
      <c r="D91" s="16"/>
      <c r="E91" s="27"/>
      <c r="F91" s="77" t="s">
        <v>111</v>
      </c>
      <c r="G91" s="78"/>
      <c r="H91" s="13">
        <f>H89+H90</f>
        <v>10755.498</v>
      </c>
      <c r="I91" s="20"/>
      <c r="J91" s="79"/>
      <c r="K91" s="22"/>
      <c r="L91" s="22"/>
      <c r="M91" s="7"/>
      <c r="N91" s="126"/>
      <c r="O91" s="126"/>
      <c r="P91" s="16"/>
      <c r="Q91" s="16"/>
      <c r="R91" s="16"/>
      <c r="S91" s="16"/>
      <c r="T91" s="16"/>
      <c r="U91" s="16"/>
      <c r="V91" s="16"/>
      <c r="W91" s="16"/>
      <c r="X91" s="16"/>
      <c r="Y91" s="1"/>
      <c r="Z91" s="120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  <c r="AV91" s="1"/>
      <c r="AW91" s="1"/>
      <c r="AX91" s="1"/>
      <c r="AY91" s="1"/>
      <c r="AZ91" s="1"/>
      <c r="BA91" s="1"/>
      <c r="BB91" s="1"/>
      <c r="BC91" s="1"/>
      <c r="BD91" s="1"/>
      <c r="BE91" s="1"/>
      <c r="BF91" s="1"/>
      <c r="BG91" s="1"/>
      <c r="BH91" s="1"/>
      <c r="BI91" s="1"/>
      <c r="BJ91" s="1"/>
      <c r="BK91" s="1"/>
      <c r="BL91" s="1"/>
      <c r="BM91" s="1"/>
      <c r="BN91" s="1"/>
      <c r="BO91" s="1"/>
      <c r="BP91" s="1"/>
      <c r="BQ91" s="1"/>
      <c r="BR91" s="1"/>
      <c r="BS91" s="1"/>
      <c r="BT91" s="1"/>
    </row>
    <row r="92" spans="1:72" ht="15.75" x14ac:dyDescent="0.25">
      <c r="A92" s="16"/>
      <c r="B92" s="16"/>
      <c r="C92" s="16"/>
      <c r="D92" s="16"/>
      <c r="E92" s="27"/>
      <c r="F92" s="124" t="s">
        <v>113</v>
      </c>
      <c r="G92" s="82">
        <v>0.03</v>
      </c>
      <c r="H92" s="13">
        <f>H91*G92</f>
        <v>322.66494</v>
      </c>
      <c r="I92" s="83"/>
      <c r="J92" s="80"/>
      <c r="K92" s="81" t="s">
        <v>112</v>
      </c>
      <c r="L92" s="111" t="s">
        <v>131</v>
      </c>
      <c r="M92" s="7"/>
      <c r="N92" s="135"/>
      <c r="O92" s="16"/>
      <c r="P92" s="16"/>
      <c r="Q92" s="16"/>
      <c r="R92" s="16"/>
      <c r="S92" s="16"/>
      <c r="T92" s="16"/>
      <c r="U92" s="16"/>
      <c r="V92" s="16"/>
      <c r="W92" s="16"/>
      <c r="X92" s="16"/>
      <c r="Y92" s="1"/>
      <c r="Z92" s="120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  <c r="AU92" s="1"/>
      <c r="AV92" s="1"/>
      <c r="AW92" s="1"/>
      <c r="AX92" s="1"/>
      <c r="AY92" s="1"/>
      <c r="AZ92" s="1"/>
      <c r="BA92" s="1"/>
      <c r="BB92" s="1"/>
      <c r="BC92" s="1"/>
      <c r="BD92" s="1"/>
      <c r="BE92" s="1"/>
      <c r="BF92" s="1"/>
      <c r="BG92" s="1"/>
      <c r="BH92" s="1"/>
      <c r="BI92" s="1"/>
      <c r="BJ92" s="1"/>
      <c r="BK92" s="1"/>
      <c r="BL92" s="1"/>
      <c r="BM92" s="1"/>
      <c r="BN92" s="1"/>
      <c r="BO92" s="1"/>
      <c r="BP92" s="1"/>
      <c r="BQ92" s="1"/>
      <c r="BR92" s="1"/>
      <c r="BS92" s="1"/>
      <c r="BT92" s="1"/>
    </row>
    <row r="93" spans="1:72" ht="15.75" x14ac:dyDescent="0.25">
      <c r="A93" s="16"/>
      <c r="B93" s="16"/>
      <c r="C93" s="16"/>
      <c r="D93" s="16"/>
      <c r="E93" s="27"/>
      <c r="F93" s="4" t="s">
        <v>115</v>
      </c>
      <c r="G93" s="77"/>
      <c r="H93" s="13">
        <f>H91+H92</f>
        <v>11078.16294</v>
      </c>
      <c r="I93" s="80"/>
      <c r="J93" s="80" t="s">
        <v>114</v>
      </c>
      <c r="K93" s="6">
        <f>+H17</f>
        <v>0</v>
      </c>
      <c r="L93" s="112"/>
      <c r="M93" s="135"/>
      <c r="N93" s="7"/>
      <c r="O93" s="16"/>
      <c r="P93" s="16"/>
      <c r="Q93" s="16"/>
      <c r="R93" s="16"/>
      <c r="S93" s="16"/>
      <c r="T93" s="16"/>
      <c r="U93" s="16"/>
      <c r="V93" s="16"/>
      <c r="W93" s="16"/>
      <c r="X93" s="16"/>
      <c r="Y93" s="1"/>
      <c r="Z93" s="120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/>
      <c r="AV93" s="1"/>
      <c r="AW93" s="1"/>
      <c r="AX93" s="1"/>
      <c r="AY93" s="1"/>
      <c r="AZ93" s="1"/>
      <c r="BA93" s="1"/>
      <c r="BB93" s="1"/>
      <c r="BC93" s="1"/>
      <c r="BD93" s="1"/>
      <c r="BE93" s="1"/>
      <c r="BF93" s="1"/>
      <c r="BG93" s="1"/>
      <c r="BH93" s="1"/>
      <c r="BI93" s="1"/>
      <c r="BJ93" s="1"/>
      <c r="BK93" s="1"/>
      <c r="BL93" s="1"/>
      <c r="BM93" s="1"/>
      <c r="BN93" s="1"/>
      <c r="BO93" s="1"/>
      <c r="BP93" s="1"/>
      <c r="BQ93" s="1"/>
      <c r="BR93" s="1"/>
      <c r="BS93" s="1"/>
      <c r="BT93" s="1"/>
    </row>
    <row r="94" spans="1:72" ht="15.75" x14ac:dyDescent="0.25">
      <c r="A94" s="16"/>
      <c r="B94" s="16"/>
      <c r="C94" s="16"/>
      <c r="D94" s="16"/>
      <c r="E94" s="16"/>
      <c r="F94" s="124" t="s">
        <v>117</v>
      </c>
      <c r="G94" s="82">
        <v>0.2</v>
      </c>
      <c r="H94" s="13">
        <f>H93*G94</f>
        <v>2215.6325879999999</v>
      </c>
      <c r="I94" s="80"/>
      <c r="J94" s="80" t="s">
        <v>116</v>
      </c>
      <c r="K94" s="6">
        <f>H44</f>
        <v>2481.12</v>
      </c>
      <c r="L94" s="112"/>
      <c r="M94" s="135"/>
      <c r="N94" s="7"/>
      <c r="O94" s="16"/>
      <c r="P94" s="16"/>
      <c r="Q94" s="16"/>
      <c r="R94" s="16"/>
      <c r="S94" s="16"/>
      <c r="T94" s="16"/>
      <c r="U94" s="16"/>
      <c r="V94" s="16"/>
      <c r="W94" s="16"/>
      <c r="X94" s="16"/>
      <c r="Y94" s="1"/>
      <c r="Z94" s="120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/>
      <c r="AV94" s="1"/>
      <c r="AW94" s="1"/>
      <c r="AX94" s="1"/>
      <c r="AY94" s="1"/>
      <c r="AZ94" s="1"/>
      <c r="BA94" s="1"/>
      <c r="BB94" s="1"/>
      <c r="BC94" s="1"/>
      <c r="BD94" s="1"/>
      <c r="BE94" s="1"/>
      <c r="BF94" s="1"/>
      <c r="BG94" s="1"/>
      <c r="BH94" s="1"/>
      <c r="BI94" s="1"/>
      <c r="BJ94" s="1"/>
      <c r="BK94" s="1"/>
      <c r="BL94" s="1"/>
      <c r="BM94" s="1"/>
      <c r="BN94" s="1"/>
      <c r="BO94" s="1"/>
      <c r="BP94" s="1"/>
      <c r="BQ94" s="1"/>
      <c r="BR94" s="1"/>
      <c r="BS94" s="1"/>
      <c r="BT94" s="1"/>
    </row>
    <row r="95" spans="1:72" ht="15.75" x14ac:dyDescent="0.25">
      <c r="A95" s="16"/>
      <c r="B95" s="16"/>
      <c r="C95" s="16"/>
      <c r="D95" s="16"/>
      <c r="E95" s="16"/>
      <c r="F95" s="124" t="s">
        <v>119</v>
      </c>
      <c r="G95" s="74"/>
      <c r="H95" s="85">
        <f>H93+H94</f>
        <v>13293.795528000001</v>
      </c>
      <c r="I95" s="13"/>
      <c r="J95" s="80" t="s">
        <v>118</v>
      </c>
      <c r="K95" s="6">
        <f>H59-H46</f>
        <v>8077.0523999999987</v>
      </c>
      <c r="L95" s="112"/>
      <c r="M95" s="84" t="s">
        <v>127</v>
      </c>
      <c r="N95" s="7"/>
      <c r="O95" s="16"/>
      <c r="P95" s="16"/>
      <c r="Q95" s="16"/>
      <c r="R95" s="16"/>
      <c r="S95" s="16"/>
      <c r="T95" s="16"/>
      <c r="U95" s="16"/>
      <c r="V95" s="16"/>
      <c r="W95" s="16"/>
      <c r="X95" s="16"/>
      <c r="Y95" s="1"/>
      <c r="Z95" s="120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  <c r="AV95" s="1"/>
      <c r="AW95" s="1"/>
      <c r="AX95" s="1"/>
      <c r="AY95" s="1"/>
      <c r="AZ95" s="1"/>
      <c r="BA95" s="1"/>
      <c r="BB95" s="1"/>
      <c r="BC95" s="1"/>
      <c r="BD95" s="1"/>
      <c r="BE95" s="1"/>
      <c r="BF95" s="1"/>
      <c r="BG95" s="1"/>
      <c r="BH95" s="1"/>
      <c r="BI95" s="1"/>
      <c r="BJ95" s="1"/>
      <c r="BK95" s="1"/>
      <c r="BL95" s="1"/>
      <c r="BM95" s="1"/>
      <c r="BN95" s="1"/>
      <c r="BO95" s="1"/>
      <c r="BP95" s="1"/>
      <c r="BQ95" s="1"/>
      <c r="BR95" s="1"/>
      <c r="BS95" s="1"/>
      <c r="BT95" s="1"/>
    </row>
    <row r="96" spans="1:72" ht="15.75" x14ac:dyDescent="0.25">
      <c r="A96" s="16"/>
      <c r="B96" s="16"/>
      <c r="C96" s="16"/>
      <c r="D96" s="16"/>
      <c r="E96" s="16"/>
      <c r="F96" s="124" t="s">
        <v>125</v>
      </c>
      <c r="G96" s="87"/>
      <c r="H96" s="97">
        <f>'MAT (2)'!H121</f>
        <v>7749.7200000000012</v>
      </c>
      <c r="I96" s="88" t="s">
        <v>120</v>
      </c>
      <c r="J96" s="86" t="s">
        <v>56</v>
      </c>
      <c r="K96" s="6">
        <f>SUM(K93:K95)</f>
        <v>10558.172399999999</v>
      </c>
      <c r="L96" s="113">
        <f>H95-H94</f>
        <v>11078.16294</v>
      </c>
      <c r="M96" s="114">
        <f>+(L96-K96)*0.3</f>
        <v>155.9971620000002</v>
      </c>
      <c r="N96" s="7"/>
      <c r="O96" s="16"/>
      <c r="P96" s="16"/>
      <c r="Q96" s="16"/>
      <c r="R96" s="16"/>
      <c r="S96" s="16"/>
      <c r="T96" s="16"/>
      <c r="U96" s="16"/>
      <c r="V96" s="16"/>
      <c r="W96" s="16"/>
      <c r="X96" s="16"/>
      <c r="Y96" s="1"/>
      <c r="Z96" s="120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  <c r="AV96" s="1"/>
      <c r="AW96" s="1"/>
      <c r="AX96" s="1"/>
      <c r="AY96" s="1"/>
      <c r="AZ96" s="1"/>
      <c r="BA96" s="1"/>
      <c r="BB96" s="1"/>
      <c r="BC96" s="1"/>
      <c r="BD96" s="1"/>
      <c r="BE96" s="1"/>
      <c r="BF96" s="1"/>
      <c r="BG96" s="1"/>
      <c r="BH96" s="1"/>
      <c r="BI96" s="1"/>
      <c r="BJ96" s="1"/>
      <c r="BK96" s="1"/>
      <c r="BL96" s="1"/>
      <c r="BM96" s="1"/>
      <c r="BN96" s="1"/>
      <c r="BO96" s="1"/>
      <c r="BP96" s="1"/>
      <c r="BQ96" s="1"/>
      <c r="BR96" s="1"/>
      <c r="BS96" s="1"/>
      <c r="BT96" s="1"/>
    </row>
    <row r="97" spans="1:72" ht="15.75" x14ac:dyDescent="0.25">
      <c r="A97" s="16"/>
      <c r="B97" s="16" t="s">
        <v>121</v>
      </c>
      <c r="C97" s="16"/>
      <c r="D97" s="16"/>
      <c r="E97" s="16"/>
      <c r="F97" s="124" t="s">
        <v>126</v>
      </c>
      <c r="G97" s="90"/>
      <c r="H97" s="98">
        <f>H95+H96</f>
        <v>21043.515528000004</v>
      </c>
      <c r="I97" s="13"/>
      <c r="J97" s="89">
        <f>H95/H89</f>
        <v>1.6068000000000002</v>
      </c>
      <c r="K97" s="7"/>
      <c r="L97" s="7"/>
      <c r="M97" s="23"/>
      <c r="N97" s="7"/>
      <c r="O97" s="16"/>
      <c r="P97" s="16"/>
      <c r="Q97" s="16"/>
      <c r="R97" s="16"/>
      <c r="S97" s="16"/>
      <c r="T97" s="16"/>
      <c r="U97" s="16"/>
      <c r="V97" s="16"/>
      <c r="W97" s="16"/>
      <c r="X97" s="16"/>
      <c r="Y97" s="1"/>
      <c r="Z97" s="120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1"/>
      <c r="AV97" s="1"/>
      <c r="AW97" s="1"/>
      <c r="AX97" s="1"/>
      <c r="AY97" s="1"/>
      <c r="AZ97" s="1"/>
      <c r="BA97" s="1"/>
      <c r="BB97" s="1"/>
      <c r="BC97" s="1"/>
      <c r="BD97" s="1"/>
      <c r="BE97" s="1"/>
      <c r="BF97" s="1"/>
      <c r="BG97" s="1"/>
      <c r="BH97" s="1"/>
      <c r="BI97" s="1"/>
      <c r="BJ97" s="1"/>
      <c r="BK97" s="1"/>
      <c r="BL97" s="1"/>
      <c r="BM97" s="1"/>
      <c r="BN97" s="1"/>
      <c r="BO97" s="1"/>
      <c r="BP97" s="1"/>
      <c r="BQ97" s="1"/>
      <c r="BR97" s="1"/>
      <c r="BS97" s="1"/>
      <c r="BT97" s="1"/>
    </row>
    <row r="98" spans="1:72" ht="15.75" x14ac:dyDescent="0.25">
      <c r="A98" s="16"/>
      <c r="B98" s="139" t="s">
        <v>122</v>
      </c>
      <c r="C98" s="139" t="s">
        <v>123</v>
      </c>
      <c r="D98" s="140" t="s">
        <v>124</v>
      </c>
      <c r="E98" s="132"/>
      <c r="F98" s="7"/>
      <c r="G98" s="92"/>
      <c r="H98" s="9"/>
      <c r="I98" s="7"/>
      <c r="J98" s="7"/>
      <c r="K98" s="7"/>
      <c r="L98" s="7"/>
      <c r="M98" s="9"/>
      <c r="N98" s="91"/>
      <c r="O98" s="16"/>
      <c r="P98" s="16"/>
      <c r="Q98" s="16"/>
      <c r="R98" s="16"/>
      <c r="S98" s="16"/>
      <c r="T98" s="16"/>
      <c r="U98" s="16"/>
      <c r="V98" s="16"/>
      <c r="W98" s="16"/>
      <c r="X98" s="16"/>
      <c r="Y98" s="1"/>
      <c r="Z98" s="120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  <c r="AV98" s="1"/>
      <c r="AW98" s="1"/>
      <c r="AX98" s="1"/>
      <c r="AY98" s="1"/>
      <c r="AZ98" s="1"/>
      <c r="BA98" s="1"/>
      <c r="BB98" s="1"/>
      <c r="BC98" s="1"/>
      <c r="BD98" s="1"/>
      <c r="BE98" s="1"/>
      <c r="BF98" s="1"/>
      <c r="BG98" s="1"/>
      <c r="BH98" s="1"/>
      <c r="BI98" s="1"/>
      <c r="BJ98" s="1"/>
      <c r="BK98" s="1"/>
      <c r="BL98" s="1"/>
      <c r="BM98" s="1"/>
      <c r="BN98" s="1"/>
      <c r="BO98" s="1"/>
      <c r="BP98" s="1"/>
      <c r="BQ98" s="1"/>
      <c r="BR98" s="1"/>
      <c r="BS98" s="1"/>
      <c r="BT98" s="1"/>
    </row>
    <row r="99" spans="1:72" ht="15.75" x14ac:dyDescent="0.25">
      <c r="A99" s="16"/>
      <c r="B99" s="141">
        <v>0.27500000000000002</v>
      </c>
      <c r="C99" s="141">
        <v>0.05</v>
      </c>
      <c r="D99" s="141">
        <f>B99+C99</f>
        <v>0.32500000000000001</v>
      </c>
      <c r="E99" s="16"/>
      <c r="F99" s="92"/>
      <c r="G99" s="93"/>
      <c r="H99" s="9"/>
      <c r="I99" s="7"/>
      <c r="J99" s="7"/>
      <c r="K99" s="7"/>
      <c r="L99" s="7"/>
      <c r="M99" s="9"/>
      <c r="N99" s="7"/>
      <c r="O99" s="16"/>
      <c r="P99" s="16"/>
      <c r="Q99" s="16"/>
      <c r="R99" s="16"/>
      <c r="S99" s="16"/>
      <c r="T99" s="16"/>
      <c r="U99" s="16"/>
      <c r="V99" s="16"/>
      <c r="W99" s="16"/>
      <c r="X99" s="16"/>
      <c r="Y99" s="1"/>
      <c r="Z99" s="120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  <c r="AV99" s="1"/>
      <c r="AW99" s="1"/>
      <c r="AX99" s="1"/>
      <c r="AY99" s="1"/>
      <c r="AZ99" s="1"/>
      <c r="BA99" s="1"/>
      <c r="BB99" s="1"/>
      <c r="BC99" s="1"/>
      <c r="BD99" s="1"/>
      <c r="BE99" s="1"/>
      <c r="BF99" s="1"/>
      <c r="BG99" s="1"/>
      <c r="BH99" s="1"/>
      <c r="BI99" s="1"/>
      <c r="BJ99" s="1"/>
      <c r="BK99" s="1"/>
      <c r="BL99" s="1"/>
      <c r="BM99" s="1"/>
      <c r="BN99" s="1"/>
      <c r="BO99" s="1"/>
      <c r="BP99" s="1"/>
      <c r="BQ99" s="1"/>
      <c r="BR99" s="1"/>
      <c r="BS99" s="1"/>
      <c r="BT99" s="1"/>
    </row>
    <row r="100" spans="1:72" ht="15.75" x14ac:dyDescent="0.25">
      <c r="A100" s="16"/>
      <c r="B100" s="16"/>
      <c r="C100" s="16"/>
      <c r="D100" s="16"/>
      <c r="E100" s="16"/>
      <c r="F100" s="23"/>
      <c r="G100" s="94"/>
      <c r="H100" s="93"/>
      <c r="I100" s="27"/>
      <c r="J100" s="7"/>
      <c r="K100" s="7"/>
      <c r="L100" s="7"/>
      <c r="M100" s="7"/>
      <c r="N100" s="7"/>
      <c r="O100" s="16"/>
      <c r="P100" s="16"/>
      <c r="Q100" s="16"/>
      <c r="R100" s="16"/>
      <c r="S100" s="16"/>
      <c r="T100" s="16"/>
      <c r="U100" s="16"/>
      <c r="V100" s="16"/>
      <c r="W100" s="16"/>
      <c r="X100" s="16"/>
      <c r="Y100" s="1"/>
      <c r="Z100" s="120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  <c r="AV100" s="1"/>
      <c r="AW100" s="1"/>
      <c r="AX100" s="1"/>
      <c r="AY100" s="1"/>
      <c r="AZ100" s="1"/>
      <c r="BA100" s="1"/>
      <c r="BB100" s="1"/>
      <c r="BC100" s="1"/>
      <c r="BD100" s="1"/>
      <c r="BE100" s="1"/>
      <c r="BF100" s="1"/>
      <c r="BG100" s="1"/>
      <c r="BH100" s="1"/>
      <c r="BI100" s="1"/>
      <c r="BJ100" s="1"/>
      <c r="BK100" s="1"/>
      <c r="BL100" s="1"/>
      <c r="BM100" s="1"/>
      <c r="BN100" s="1"/>
      <c r="BO100" s="1"/>
      <c r="BP100" s="1"/>
      <c r="BQ100" s="1"/>
      <c r="BR100" s="1"/>
      <c r="BS100" s="1"/>
      <c r="BT100" s="1"/>
    </row>
    <row r="101" spans="1:72" ht="15.75" x14ac:dyDescent="0.25">
      <c r="A101" s="1"/>
      <c r="B101" s="1"/>
      <c r="C101" s="1"/>
      <c r="D101" s="1"/>
      <c r="E101" s="1"/>
      <c r="F101" s="23"/>
      <c r="G101" s="94"/>
      <c r="H101" s="93"/>
      <c r="I101" s="95"/>
      <c r="J101" s="18"/>
      <c r="K101" s="18"/>
      <c r="L101" s="18"/>
      <c r="M101" s="18"/>
      <c r="N101" s="18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20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/>
      <c r="AV101" s="1"/>
      <c r="AW101" s="1"/>
      <c r="AX101" s="1"/>
      <c r="AY101" s="1"/>
      <c r="AZ101" s="1"/>
      <c r="BA101" s="1"/>
      <c r="BB101" s="1"/>
      <c r="BC101" s="1"/>
      <c r="BD101" s="1"/>
      <c r="BE101" s="1"/>
      <c r="BF101" s="1"/>
      <c r="BG101" s="1"/>
      <c r="BH101" s="1"/>
      <c r="BI101" s="1"/>
      <c r="BJ101" s="1"/>
      <c r="BK101" s="1"/>
      <c r="BL101" s="1"/>
      <c r="BM101" s="1"/>
      <c r="BN101" s="1"/>
      <c r="BO101" s="1"/>
      <c r="BP101" s="1"/>
      <c r="BQ101" s="1"/>
      <c r="BR101" s="1"/>
      <c r="BS101" s="1"/>
      <c r="BT101" s="1"/>
    </row>
    <row r="102" spans="1:72" ht="15.75" x14ac:dyDescent="0.25">
      <c r="A102" s="1"/>
      <c r="B102" s="1"/>
      <c r="C102" s="1"/>
      <c r="D102" s="1"/>
      <c r="E102" s="1"/>
      <c r="F102" s="23"/>
      <c r="G102" s="76"/>
      <c r="H102" s="76"/>
      <c r="I102" s="18"/>
      <c r="J102" s="18"/>
      <c r="K102" s="18"/>
      <c r="L102" s="18"/>
      <c r="M102" s="18"/>
      <c r="N102" s="18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20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/>
      <c r="AV102" s="1"/>
      <c r="AW102" s="1"/>
      <c r="AX102" s="1"/>
      <c r="AY102" s="1"/>
      <c r="AZ102" s="1"/>
      <c r="BA102" s="1"/>
      <c r="BB102" s="1"/>
      <c r="BC102" s="1"/>
      <c r="BD102" s="1"/>
      <c r="BE102" s="1"/>
      <c r="BF102" s="1"/>
      <c r="BG102" s="1"/>
      <c r="BH102" s="1"/>
      <c r="BI102" s="1"/>
      <c r="BJ102" s="1"/>
      <c r="BK102" s="1"/>
      <c r="BL102" s="1"/>
      <c r="BM102" s="1"/>
      <c r="BN102" s="1"/>
      <c r="BO102" s="1"/>
      <c r="BP102" s="1"/>
      <c r="BQ102" s="1"/>
      <c r="BR102" s="1"/>
      <c r="BS102" s="1"/>
      <c r="BT102" s="1"/>
    </row>
    <row r="103" spans="1:72" ht="15.75" x14ac:dyDescent="0.25">
      <c r="A103" s="1"/>
      <c r="B103" s="1"/>
      <c r="C103" s="1"/>
      <c r="D103" s="1"/>
      <c r="E103" s="1"/>
      <c r="F103" s="23"/>
      <c r="G103" s="5"/>
      <c r="H103" s="1"/>
      <c r="I103" s="1"/>
      <c r="J103" s="18"/>
      <c r="K103" s="18"/>
      <c r="L103" s="18"/>
      <c r="M103" s="18"/>
      <c r="N103" s="18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20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  <c r="AV103" s="1"/>
      <c r="AW103" s="1"/>
      <c r="AX103" s="1"/>
      <c r="AY103" s="1"/>
      <c r="AZ103" s="1"/>
      <c r="BA103" s="1"/>
      <c r="BB103" s="1"/>
      <c r="BC103" s="1"/>
      <c r="BD103" s="1"/>
      <c r="BE103" s="1"/>
      <c r="BF103" s="1"/>
      <c r="BG103" s="1"/>
      <c r="BH103" s="1"/>
      <c r="BI103" s="1"/>
      <c r="BJ103" s="1"/>
      <c r="BK103" s="1"/>
      <c r="BL103" s="1"/>
      <c r="BM103" s="1"/>
      <c r="BN103" s="1"/>
      <c r="BO103" s="1"/>
      <c r="BP103" s="1"/>
      <c r="BQ103" s="1"/>
      <c r="BR103" s="1"/>
      <c r="BS103" s="1"/>
      <c r="BT103" s="1"/>
    </row>
    <row r="104" spans="1:72" ht="15.75" x14ac:dyDescent="0.25">
      <c r="A104" s="1"/>
      <c r="B104" s="1"/>
      <c r="C104" s="1"/>
      <c r="D104" s="1"/>
      <c r="E104" s="1"/>
      <c r="F104" s="1"/>
      <c r="G104" s="18"/>
      <c r="H104" s="4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20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  <c r="AV104" s="1"/>
      <c r="AW104" s="1"/>
      <c r="AX104" s="1"/>
      <c r="AY104" s="1"/>
      <c r="AZ104" s="1"/>
      <c r="BA104" s="1"/>
      <c r="BB104" s="1"/>
      <c r="BC104" s="1"/>
      <c r="BD104" s="1"/>
      <c r="BE104" s="1"/>
      <c r="BF104" s="1"/>
      <c r="BG104" s="1"/>
      <c r="BH104" s="1"/>
      <c r="BI104" s="1"/>
      <c r="BJ104" s="1"/>
      <c r="BK104" s="1"/>
      <c r="BL104" s="1"/>
      <c r="BM104" s="1"/>
      <c r="BN104" s="1"/>
      <c r="BO104" s="1"/>
      <c r="BP104" s="1"/>
      <c r="BQ104" s="1"/>
      <c r="BR104" s="1"/>
      <c r="BS104" s="1"/>
      <c r="BT104" s="1"/>
    </row>
    <row r="105" spans="1:72" ht="15.75" x14ac:dyDescent="0.25">
      <c r="A105" s="1"/>
      <c r="B105" s="1"/>
      <c r="C105" s="96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20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  <c r="AV105" s="1"/>
      <c r="AW105" s="1"/>
      <c r="AX105" s="1"/>
      <c r="AY105" s="1"/>
      <c r="AZ105" s="1"/>
      <c r="BA105" s="1"/>
      <c r="BB105" s="1"/>
      <c r="BC105" s="1"/>
      <c r="BD105" s="1"/>
      <c r="BE105" s="1"/>
      <c r="BF105" s="1"/>
      <c r="BG105" s="1"/>
      <c r="BH105" s="1"/>
      <c r="BI105" s="1"/>
      <c r="BJ105" s="1"/>
      <c r="BK105" s="1"/>
      <c r="BL105" s="1"/>
      <c r="BM105" s="1"/>
      <c r="BN105" s="1"/>
      <c r="BO105" s="1"/>
      <c r="BP105" s="1"/>
      <c r="BQ105" s="1"/>
      <c r="BR105" s="1"/>
      <c r="BS105" s="1"/>
      <c r="BT105" s="1"/>
    </row>
    <row r="106" spans="1:72" ht="15.75" x14ac:dyDescent="0.25">
      <c r="A106" s="1"/>
      <c r="B106" s="1"/>
      <c r="C106" s="96"/>
      <c r="D106" s="1"/>
      <c r="E106" s="1"/>
      <c r="F106" s="1"/>
      <c r="G106" s="18"/>
      <c r="H106" s="4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20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1"/>
      <c r="AV106" s="1"/>
      <c r="AW106" s="1"/>
      <c r="AX106" s="1"/>
      <c r="AY106" s="1"/>
      <c r="AZ106" s="1"/>
      <c r="BA106" s="1"/>
      <c r="BB106" s="1"/>
      <c r="BC106" s="1"/>
      <c r="BD106" s="1"/>
      <c r="BE106" s="1"/>
      <c r="BF106" s="1"/>
      <c r="BG106" s="1"/>
      <c r="BH106" s="1"/>
      <c r="BI106" s="1"/>
      <c r="BJ106" s="1"/>
      <c r="BK106" s="1"/>
      <c r="BL106" s="1"/>
      <c r="BM106" s="1"/>
      <c r="BN106" s="1"/>
      <c r="BO106" s="1"/>
      <c r="BP106" s="1"/>
      <c r="BQ106" s="1"/>
      <c r="BR106" s="1"/>
      <c r="BS106" s="1"/>
      <c r="BT106" s="1"/>
    </row>
    <row r="107" spans="1:72" ht="15.75" x14ac:dyDescent="0.25">
      <c r="A107" s="1"/>
      <c r="B107" s="1"/>
      <c r="C107" s="96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20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  <c r="AU107" s="1"/>
      <c r="AV107" s="1"/>
      <c r="AW107" s="1"/>
      <c r="AX107" s="1"/>
      <c r="AY107" s="1"/>
      <c r="AZ107" s="1"/>
      <c r="BA107" s="1"/>
      <c r="BB107" s="1"/>
      <c r="BC107" s="1"/>
      <c r="BD107" s="1"/>
      <c r="BE107" s="1"/>
      <c r="BF107" s="1"/>
      <c r="BG107" s="1"/>
      <c r="BH107" s="1"/>
      <c r="BI107" s="1"/>
      <c r="BJ107" s="1"/>
      <c r="BK107" s="1"/>
      <c r="BL107" s="1"/>
      <c r="BM107" s="1"/>
      <c r="BN107" s="1"/>
      <c r="BO107" s="1"/>
      <c r="BP107" s="1"/>
      <c r="BQ107" s="1"/>
      <c r="BR107" s="1"/>
      <c r="BS107" s="1"/>
      <c r="BT107" s="1"/>
    </row>
    <row r="108" spans="1:72" ht="15.75" x14ac:dyDescent="0.25">
      <c r="A108" s="1"/>
      <c r="B108" s="1"/>
      <c r="C108" s="96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20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  <c r="AV108" s="1"/>
      <c r="AW108" s="1"/>
      <c r="AX108" s="1"/>
      <c r="AY108" s="1"/>
      <c r="AZ108" s="1"/>
      <c r="BA108" s="1"/>
      <c r="BB108" s="1"/>
      <c r="BC108" s="1"/>
      <c r="BD108" s="1"/>
      <c r="BE108" s="1"/>
      <c r="BF108" s="1"/>
      <c r="BG108" s="1"/>
      <c r="BH108" s="1"/>
      <c r="BI108" s="1"/>
      <c r="BJ108" s="1"/>
      <c r="BK108" s="1"/>
      <c r="BL108" s="1"/>
      <c r="BM108" s="1"/>
      <c r="BN108" s="1"/>
      <c r="BO108" s="1"/>
      <c r="BP108" s="1"/>
      <c r="BQ108" s="1"/>
      <c r="BR108" s="1"/>
      <c r="BS108" s="1"/>
      <c r="BT108" s="1"/>
    </row>
    <row r="109" spans="1:72" ht="15.75" x14ac:dyDescent="0.25">
      <c r="A109" s="1"/>
      <c r="B109" s="1"/>
      <c r="C109" s="40"/>
      <c r="D109" s="96"/>
      <c r="E109" s="96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20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/>
      <c r="AV109" s="1"/>
      <c r="AW109" s="1"/>
      <c r="AX109" s="1"/>
      <c r="AY109" s="1"/>
      <c r="AZ109" s="1"/>
      <c r="BA109" s="1"/>
      <c r="BB109" s="1"/>
      <c r="BC109" s="1"/>
      <c r="BD109" s="1"/>
      <c r="BE109" s="1"/>
      <c r="BF109" s="1"/>
      <c r="BG109" s="1"/>
      <c r="BH109" s="1"/>
      <c r="BI109" s="1"/>
      <c r="BJ109" s="1"/>
      <c r="BK109" s="1"/>
      <c r="BL109" s="1"/>
      <c r="BM109" s="1"/>
      <c r="BN109" s="1"/>
      <c r="BO109" s="1"/>
      <c r="BP109" s="1"/>
      <c r="BQ109" s="1"/>
      <c r="BR109" s="1"/>
      <c r="BS109" s="1"/>
      <c r="BT109" s="1"/>
    </row>
    <row r="110" spans="1:72" ht="15.75" x14ac:dyDescent="0.25">
      <c r="A110" s="1"/>
      <c r="B110" s="96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20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  <c r="AV110" s="1"/>
      <c r="AW110" s="1"/>
      <c r="AX110" s="1"/>
      <c r="AY110" s="1"/>
      <c r="AZ110" s="1"/>
      <c r="BA110" s="1"/>
      <c r="BB110" s="1"/>
      <c r="BC110" s="1"/>
      <c r="BD110" s="1"/>
      <c r="BE110" s="1"/>
      <c r="BF110" s="1"/>
      <c r="BG110" s="1"/>
      <c r="BH110" s="1"/>
      <c r="BI110" s="1"/>
      <c r="BJ110" s="1"/>
      <c r="BK110" s="1"/>
      <c r="BL110" s="1"/>
      <c r="BM110" s="1"/>
      <c r="BN110" s="1"/>
      <c r="BO110" s="1"/>
      <c r="BP110" s="1"/>
      <c r="BQ110" s="1"/>
      <c r="BR110" s="1"/>
      <c r="BS110" s="1"/>
      <c r="BT110" s="1"/>
    </row>
    <row r="111" spans="1:72" ht="15.75" x14ac:dyDescent="0.25">
      <c r="A111" s="1"/>
      <c r="B111" s="96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20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/>
      <c r="AV111" s="1"/>
      <c r="AW111" s="1"/>
      <c r="AX111" s="1"/>
      <c r="AY111" s="1"/>
      <c r="AZ111" s="1"/>
      <c r="BA111" s="1"/>
      <c r="BB111" s="1"/>
      <c r="BC111" s="1"/>
      <c r="BD111" s="1"/>
      <c r="BE111" s="1"/>
      <c r="BF111" s="1"/>
      <c r="BG111" s="1"/>
      <c r="BH111" s="1"/>
      <c r="BI111" s="1"/>
      <c r="BJ111" s="1"/>
      <c r="BK111" s="1"/>
      <c r="BL111" s="1"/>
      <c r="BM111" s="1"/>
      <c r="BN111" s="1"/>
      <c r="BO111" s="1"/>
      <c r="BP111" s="1"/>
      <c r="BQ111" s="1"/>
      <c r="BR111" s="1"/>
      <c r="BS111" s="1"/>
      <c r="BT111" s="1"/>
    </row>
    <row r="112" spans="1:72" ht="15.75" x14ac:dyDescent="0.25">
      <c r="A112" s="1"/>
      <c r="B112" s="96"/>
      <c r="C112" s="96"/>
      <c r="D112" s="96"/>
      <c r="E112" s="96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20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  <c r="AV112" s="1"/>
      <c r="AW112" s="1"/>
      <c r="AX112" s="1"/>
      <c r="AY112" s="1"/>
      <c r="AZ112" s="1"/>
      <c r="BA112" s="1"/>
      <c r="BB112" s="1"/>
      <c r="BC112" s="1"/>
      <c r="BD112" s="1"/>
      <c r="BE112" s="1"/>
      <c r="BF112" s="1"/>
      <c r="BG112" s="1"/>
      <c r="BH112" s="1"/>
      <c r="BI112" s="1"/>
      <c r="BJ112" s="1"/>
      <c r="BK112" s="1"/>
      <c r="BL112" s="1"/>
      <c r="BM112" s="1"/>
      <c r="BN112" s="1"/>
      <c r="BO112" s="1"/>
      <c r="BP112" s="1"/>
      <c r="BQ112" s="1"/>
      <c r="BR112" s="1"/>
      <c r="BS112" s="1"/>
      <c r="BT112" s="1"/>
    </row>
    <row r="113" spans="1:72" ht="15.75" x14ac:dyDescent="0.25">
      <c r="A113" s="1"/>
      <c r="B113" s="1"/>
      <c r="C113" s="1"/>
      <c r="D113" s="1"/>
      <c r="E113" s="1"/>
      <c r="F113" s="96"/>
      <c r="G113" s="72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20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  <c r="AV113" s="1"/>
      <c r="AW113" s="1"/>
      <c r="AX113" s="1"/>
      <c r="AY113" s="1"/>
      <c r="AZ113" s="1"/>
      <c r="BA113" s="1"/>
      <c r="BB113" s="1"/>
      <c r="BC113" s="1"/>
      <c r="BD113" s="1"/>
      <c r="BE113" s="1"/>
      <c r="BF113" s="1"/>
      <c r="BG113" s="1"/>
      <c r="BH113" s="1"/>
      <c r="BI113" s="1"/>
      <c r="BJ113" s="1"/>
      <c r="BK113" s="1"/>
      <c r="BL113" s="1"/>
      <c r="BM113" s="1"/>
      <c r="BN113" s="1"/>
      <c r="BO113" s="1"/>
      <c r="BP113" s="1"/>
      <c r="BQ113" s="1"/>
      <c r="BR113" s="1"/>
      <c r="BS113" s="1"/>
      <c r="BT113" s="1"/>
    </row>
    <row r="114" spans="1:72" ht="15.75" x14ac:dyDescent="0.25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20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  <c r="AV114" s="1"/>
      <c r="AW114" s="1"/>
      <c r="AX114" s="1"/>
      <c r="AY114" s="1"/>
      <c r="AZ114" s="1"/>
      <c r="BA114" s="1"/>
      <c r="BB114" s="1"/>
      <c r="BC114" s="1"/>
      <c r="BD114" s="1"/>
      <c r="BE114" s="1"/>
      <c r="BF114" s="1"/>
      <c r="BG114" s="1"/>
      <c r="BH114" s="1"/>
      <c r="BI114" s="1"/>
      <c r="BJ114" s="1"/>
      <c r="BK114" s="1"/>
      <c r="BL114" s="1"/>
      <c r="BM114" s="1"/>
      <c r="BN114" s="1"/>
      <c r="BO114" s="1"/>
      <c r="BP114" s="1"/>
      <c r="BQ114" s="1"/>
      <c r="BR114" s="1"/>
      <c r="BS114" s="1"/>
      <c r="BT114" s="1"/>
    </row>
    <row r="115" spans="1:72" ht="15.75" x14ac:dyDescent="0.2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20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1"/>
      <c r="AV115" s="1"/>
      <c r="AW115" s="1"/>
      <c r="AX115" s="1"/>
      <c r="AY115" s="1"/>
      <c r="AZ115" s="1"/>
      <c r="BA115" s="1"/>
      <c r="BB115" s="1"/>
      <c r="BC115" s="1"/>
      <c r="BD115" s="1"/>
      <c r="BE115" s="1"/>
      <c r="BF115" s="1"/>
      <c r="BG115" s="1"/>
      <c r="BH115" s="1"/>
      <c r="BI115" s="1"/>
      <c r="BJ115" s="1"/>
      <c r="BK115" s="1"/>
      <c r="BL115" s="1"/>
      <c r="BM115" s="1"/>
      <c r="BN115" s="1"/>
      <c r="BO115" s="1"/>
      <c r="BP115" s="1"/>
      <c r="BQ115" s="1"/>
      <c r="BR115" s="1"/>
      <c r="BS115" s="1"/>
      <c r="BT115" s="1"/>
    </row>
    <row r="116" spans="1:72" ht="15.75" x14ac:dyDescent="0.25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20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  <c r="AV116" s="1"/>
      <c r="AW116" s="1"/>
      <c r="AX116" s="1"/>
      <c r="AY116" s="1"/>
      <c r="AZ116" s="1"/>
      <c r="BA116" s="1"/>
      <c r="BB116" s="1"/>
      <c r="BC116" s="1"/>
      <c r="BD116" s="1"/>
      <c r="BE116" s="1"/>
      <c r="BF116" s="1"/>
      <c r="BG116" s="1"/>
      <c r="BH116" s="1"/>
      <c r="BI116" s="1"/>
      <c r="BJ116" s="1"/>
      <c r="BK116" s="1"/>
      <c r="BL116" s="1"/>
      <c r="BM116" s="1"/>
      <c r="BN116" s="1"/>
      <c r="BO116" s="1"/>
      <c r="BP116" s="1"/>
      <c r="BQ116" s="1"/>
      <c r="BR116" s="1"/>
      <c r="BS116" s="1"/>
      <c r="BT116" s="1"/>
    </row>
    <row r="117" spans="1:72" ht="15.75" x14ac:dyDescent="0.25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20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  <c r="AV117" s="1"/>
      <c r="AW117" s="1"/>
      <c r="AX117" s="1"/>
      <c r="AY117" s="1"/>
      <c r="AZ117" s="1"/>
      <c r="BA117" s="1"/>
      <c r="BB117" s="1"/>
      <c r="BC117" s="1"/>
      <c r="BD117" s="1"/>
      <c r="BE117" s="1"/>
      <c r="BF117" s="1"/>
      <c r="BG117" s="1"/>
      <c r="BH117" s="1"/>
      <c r="BI117" s="1"/>
      <c r="BJ117" s="1"/>
      <c r="BK117" s="1"/>
      <c r="BL117" s="1"/>
      <c r="BM117" s="1"/>
      <c r="BN117" s="1"/>
      <c r="BO117" s="1"/>
      <c r="BP117" s="1"/>
      <c r="BQ117" s="1"/>
      <c r="BR117" s="1"/>
      <c r="BS117" s="1"/>
      <c r="BT117" s="1"/>
    </row>
    <row r="118" spans="1:72" ht="15.75" x14ac:dyDescent="0.25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20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  <c r="AV118" s="1"/>
      <c r="AW118" s="1"/>
      <c r="AX118" s="1"/>
      <c r="AY118" s="1"/>
      <c r="AZ118" s="1"/>
      <c r="BA118" s="1"/>
      <c r="BB118" s="1"/>
      <c r="BC118" s="1"/>
      <c r="BD118" s="1"/>
      <c r="BE118" s="1"/>
      <c r="BF118" s="1"/>
      <c r="BG118" s="1"/>
      <c r="BH118" s="1"/>
      <c r="BI118" s="1"/>
      <c r="BJ118" s="1"/>
      <c r="BK118" s="1"/>
      <c r="BL118" s="1"/>
      <c r="BM118" s="1"/>
      <c r="BN118" s="1"/>
      <c r="BO118" s="1"/>
      <c r="BP118" s="1"/>
      <c r="BQ118" s="1"/>
      <c r="BR118" s="1"/>
      <c r="BS118" s="1"/>
      <c r="BT118" s="1"/>
    </row>
    <row r="119" spans="1:72" ht="15.75" x14ac:dyDescent="0.25">
      <c r="F119" s="1"/>
      <c r="G119" s="1"/>
      <c r="H119" s="1"/>
      <c r="I119" s="1"/>
      <c r="J119" s="1"/>
      <c r="K119" s="1"/>
      <c r="L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20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/>
      <c r="AV119" s="1"/>
      <c r="AW119" s="1"/>
      <c r="AX119" s="1"/>
      <c r="AY119" s="1"/>
      <c r="AZ119" s="1"/>
      <c r="BA119" s="1"/>
      <c r="BB119" s="1"/>
      <c r="BC119" s="1"/>
      <c r="BD119" s="1"/>
      <c r="BE119" s="1"/>
      <c r="BF119" s="1"/>
      <c r="BG119" s="1"/>
      <c r="BH119" s="1"/>
      <c r="BI119" s="1"/>
      <c r="BJ119" s="1"/>
      <c r="BK119" s="1"/>
      <c r="BL119" s="1"/>
      <c r="BM119" s="1"/>
      <c r="BN119" s="1"/>
      <c r="BO119" s="1"/>
      <c r="BP119" s="1"/>
      <c r="BQ119" s="1"/>
      <c r="BR119" s="1"/>
      <c r="BS119" s="1"/>
      <c r="BT119" s="1"/>
    </row>
    <row r="120" spans="1:72" ht="15.75" x14ac:dyDescent="0.25"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20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  <c r="AV120" s="1"/>
      <c r="AW120" s="1"/>
      <c r="AX120" s="1"/>
      <c r="AY120" s="1"/>
      <c r="AZ120" s="1"/>
      <c r="BA120" s="1"/>
      <c r="BB120" s="1"/>
      <c r="BC120" s="1"/>
      <c r="BD120" s="1"/>
      <c r="BE120" s="1"/>
      <c r="BF120" s="1"/>
      <c r="BG120" s="1"/>
      <c r="BH120" s="1"/>
      <c r="BI120" s="1"/>
      <c r="BJ120" s="1"/>
      <c r="BK120" s="1"/>
      <c r="BL120" s="1"/>
      <c r="BM120" s="1"/>
      <c r="BN120" s="1"/>
      <c r="BO120" s="1"/>
      <c r="BP120" s="1"/>
      <c r="BQ120" s="1"/>
      <c r="BR120" s="1"/>
      <c r="BS120" s="1"/>
      <c r="BT120" s="1"/>
    </row>
  </sheetData>
  <mergeCells count="78">
    <mergeCell ref="A85:D85"/>
    <mergeCell ref="I88:I89"/>
    <mergeCell ref="J88:J89"/>
    <mergeCell ref="K88:K89"/>
    <mergeCell ref="N88:N89"/>
    <mergeCell ref="F89:G89"/>
    <mergeCell ref="A84:D84"/>
    <mergeCell ref="A73:D73"/>
    <mergeCell ref="A74:D74"/>
    <mergeCell ref="A75:D75"/>
    <mergeCell ref="A76:D76"/>
    <mergeCell ref="A77:D77"/>
    <mergeCell ref="A78:D78"/>
    <mergeCell ref="A79:D79"/>
    <mergeCell ref="A80:D80"/>
    <mergeCell ref="A81:D81"/>
    <mergeCell ref="A82:D82"/>
    <mergeCell ref="A83:D83"/>
    <mergeCell ref="A72:D72"/>
    <mergeCell ref="A61:D61"/>
    <mergeCell ref="A62:D62"/>
    <mergeCell ref="A63:D63"/>
    <mergeCell ref="A64:D64"/>
    <mergeCell ref="A65:D65"/>
    <mergeCell ref="A66:D66"/>
    <mergeCell ref="A67:D67"/>
    <mergeCell ref="A68:D68"/>
    <mergeCell ref="A69:D69"/>
    <mergeCell ref="A70:D70"/>
    <mergeCell ref="A71:D71"/>
    <mergeCell ref="A57:D57"/>
    <mergeCell ref="A42:D42"/>
    <mergeCell ref="A43:D43"/>
    <mergeCell ref="A46:D46"/>
    <mergeCell ref="A49:D49"/>
    <mergeCell ref="A50:D50"/>
    <mergeCell ref="A51:D51"/>
    <mergeCell ref="A52:D52"/>
    <mergeCell ref="A53:D53"/>
    <mergeCell ref="A54:D54"/>
    <mergeCell ref="A55:D55"/>
    <mergeCell ref="A56:D56"/>
    <mergeCell ref="A41:D41"/>
    <mergeCell ref="A29:D29"/>
    <mergeCell ref="A30:D30"/>
    <mergeCell ref="A31:D31"/>
    <mergeCell ref="A32:D32"/>
    <mergeCell ref="A33:D33"/>
    <mergeCell ref="A34:D34"/>
    <mergeCell ref="A35:D35"/>
    <mergeCell ref="A36:D36"/>
    <mergeCell ref="A38:D38"/>
    <mergeCell ref="A39:D39"/>
    <mergeCell ref="A40:D40"/>
    <mergeCell ref="A28:D28"/>
    <mergeCell ref="A16:D16"/>
    <mergeCell ref="O19:U19"/>
    <mergeCell ref="V19:X19"/>
    <mergeCell ref="A20:D20"/>
    <mergeCell ref="A21:D21"/>
    <mergeCell ref="A22:D22"/>
    <mergeCell ref="A23:D23"/>
    <mergeCell ref="A24:D24"/>
    <mergeCell ref="A25:D25"/>
    <mergeCell ref="A26:D26"/>
    <mergeCell ref="A27:D27"/>
    <mergeCell ref="A15:D15"/>
    <mergeCell ref="A1:H1"/>
    <mergeCell ref="A2:H2"/>
    <mergeCell ref="B5:J5"/>
    <mergeCell ref="A8:D8"/>
    <mergeCell ref="J8:M8"/>
    <mergeCell ref="A9:D9"/>
    <mergeCell ref="A10:D10"/>
    <mergeCell ref="A11:D11"/>
    <mergeCell ref="A12:D12"/>
    <mergeCell ref="A13:D13"/>
    <mergeCell ref="A14:D14"/>
  </mergeCells>
  <pageMargins left="0.7" right="0.7" top="0.75" bottom="0.75" header="0.3" footer="0.3"/>
  <pageSetup paperSize="9" scale="29" fitToWidth="0" orientation="landscape" horizontalDpi="300" verticalDpi="300" r:id="rId1"/>
  <rowBreaks count="1" manualBreakCount="1">
    <brk id="99" max="16383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5</vt:i4>
      </vt:variant>
      <vt:variant>
        <vt:lpstr>Rangos con nombre</vt:lpstr>
      </vt:variant>
      <vt:variant>
        <vt:i4>5</vt:i4>
      </vt:variant>
    </vt:vector>
  </HeadingPairs>
  <TitlesOfParts>
    <vt:vector size="10" baseType="lpstr">
      <vt:lpstr>Cotizacion</vt:lpstr>
      <vt:lpstr>MAT</vt:lpstr>
      <vt:lpstr>M0</vt:lpstr>
      <vt:lpstr>MAT (2)</vt:lpstr>
      <vt:lpstr>M0 (2)</vt:lpstr>
      <vt:lpstr>Cotizacion!Área_de_impresión</vt:lpstr>
      <vt:lpstr>M0!Área_de_impresión</vt:lpstr>
      <vt:lpstr>'M0 (2)'!Área_de_impresión</vt:lpstr>
      <vt:lpstr>MAT!Área_de_impresión</vt:lpstr>
      <vt:lpstr>'MAT (2)'!Área_de_impresión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Hector Vargas</dc:creator>
  <cp:lastModifiedBy>user</cp:lastModifiedBy>
  <cp:lastPrinted>2025-02-12T13:24:34Z</cp:lastPrinted>
  <dcterms:created xsi:type="dcterms:W3CDTF">2020-02-06T17:11:26Z</dcterms:created>
  <dcterms:modified xsi:type="dcterms:W3CDTF">2026-01-08T22:05:59Z</dcterms:modified>
</cp:coreProperties>
</file>