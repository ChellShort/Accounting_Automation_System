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_test_2\"/>
    </mc:Choice>
  </mc:AlternateContent>
  <bookViews>
    <workbookView xWindow="0" yWindow="0" windowWidth="28800" windowHeight="11715" tabRatio="1000"/>
  </bookViews>
  <sheets>
    <sheet name="Cotizacion" sheetId="2" r:id="rId1"/>
    <sheet name=" INTERRUPTOR MAT." sheetId="9" r:id="rId2"/>
    <sheet name="INTERRUPTOR MO " sheetId="10" r:id="rId3"/>
    <sheet name="TERMOGRAFIA " sheetId="11" r:id="rId4"/>
    <sheet name="ANALISIS MO" sheetId="12" r:id="rId5"/>
    <sheet name="TERMOGRAFIA" sheetId="13" r:id="rId6"/>
    <sheet name="CUCHILLAS MO" sheetId="14" r:id="rId7"/>
    <sheet name="TR 15MVA MAT." sheetId="27" r:id="rId8"/>
    <sheet name="TR 15MVA MO" sheetId="28" r:id="rId9"/>
    <sheet name="AUTOBUS Y ALIMENTOS " sheetId="29" r:id="rId10"/>
    <sheet name="TABLEROS GENERAL MO" sheetId="30" r:id="rId11"/>
    <sheet name="BANCO DE BATERIAS MAT." sheetId="31" r:id="rId12"/>
    <sheet name="BANCO DE BATERIAS MO" sheetId="32" r:id="rId13"/>
    <sheet name="TIERRAS FISICA MAT." sheetId="34" r:id="rId14"/>
    <sheet name="TIERRAS FISICAS MO" sheetId="35" r:id="rId15"/>
    <sheet name="PROTECCIONES MAT." sheetId="37" r:id="rId16"/>
    <sheet name="PROTECCIONES MO" sheetId="38" r:id="rId17"/>
    <sheet name="TERMOGRAFIA MAT." sheetId="39" r:id="rId18"/>
    <sheet name="TERMOGRAFIAS MO" sheetId="40" r:id="rId19"/>
    <sheet name="TRANSLADO MAT." sheetId="41" r:id="rId20"/>
  </sheets>
  <externalReferences>
    <externalReference r:id="rId21"/>
  </externalReferences>
  <definedNames>
    <definedName name="_xlnm.Print_Area" localSheetId="0">Cotizacion!$A$1:$F$74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2" l="1"/>
  <c r="H9" i="29"/>
  <c r="E55" i="2"/>
  <c r="H110" i="40"/>
  <c r="D114" i="40"/>
  <c r="H101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5" i="40"/>
  <c r="H74" i="40"/>
  <c r="H70" i="40"/>
  <c r="H71" i="40" s="1"/>
  <c r="H66" i="40"/>
  <c r="H65" i="40"/>
  <c r="H64" i="40"/>
  <c r="M60" i="40"/>
  <c r="F60" i="40" s="1"/>
  <c r="H60" i="40" s="1"/>
  <c r="M59" i="40"/>
  <c r="H59" i="40"/>
  <c r="H55" i="40"/>
  <c r="H54" i="40"/>
  <c r="H53" i="40"/>
  <c r="M52" i="40"/>
  <c r="H52" i="40"/>
  <c r="M51" i="40"/>
  <c r="H51" i="40"/>
  <c r="M50" i="40"/>
  <c r="H50" i="40"/>
  <c r="M49" i="40"/>
  <c r="H49" i="40"/>
  <c r="H56" i="40" s="1"/>
  <c r="V42" i="40"/>
  <c r="N42" i="40"/>
  <c r="L42" i="40"/>
  <c r="I42" i="40"/>
  <c r="K42" i="40" s="1"/>
  <c r="F42" i="40"/>
  <c r="H42" i="40" s="1"/>
  <c r="V41" i="40"/>
  <c r="N41" i="40"/>
  <c r="L41" i="40"/>
  <c r="K41" i="40"/>
  <c r="I41" i="40"/>
  <c r="H41" i="40"/>
  <c r="V40" i="40"/>
  <c r="L40" i="40"/>
  <c r="N40" i="40" s="1"/>
  <c r="K40" i="40"/>
  <c r="I40" i="40"/>
  <c r="H40" i="40"/>
  <c r="V39" i="40"/>
  <c r="N39" i="40"/>
  <c r="L39" i="40"/>
  <c r="K39" i="40"/>
  <c r="I39" i="40"/>
  <c r="H39" i="40"/>
  <c r="N38" i="40"/>
  <c r="M38" i="40"/>
  <c r="L38" i="40"/>
  <c r="J38" i="40"/>
  <c r="I38" i="40"/>
  <c r="K38" i="40" s="1"/>
  <c r="H38" i="40"/>
  <c r="V37" i="40"/>
  <c r="M37" i="40"/>
  <c r="N37" i="40" s="1"/>
  <c r="L37" i="40"/>
  <c r="J37" i="40"/>
  <c r="K37" i="40" s="1"/>
  <c r="I37" i="40"/>
  <c r="H37" i="40"/>
  <c r="V36" i="40"/>
  <c r="M36" i="40"/>
  <c r="L36" i="40"/>
  <c r="N36" i="40" s="1"/>
  <c r="K36" i="40"/>
  <c r="J36" i="40"/>
  <c r="I36" i="40"/>
  <c r="H36" i="40"/>
  <c r="V35" i="40"/>
  <c r="N35" i="40"/>
  <c r="M35" i="40"/>
  <c r="L35" i="40"/>
  <c r="J35" i="40"/>
  <c r="I35" i="40"/>
  <c r="K35" i="40" s="1"/>
  <c r="H35" i="40"/>
  <c r="V34" i="40"/>
  <c r="M34" i="40"/>
  <c r="N34" i="40" s="1"/>
  <c r="L34" i="40"/>
  <c r="K34" i="40"/>
  <c r="J34" i="40"/>
  <c r="I34" i="40"/>
  <c r="H34" i="40"/>
  <c r="V33" i="40"/>
  <c r="M33" i="40"/>
  <c r="L33" i="40"/>
  <c r="N33" i="40" s="1"/>
  <c r="K33" i="40"/>
  <c r="J33" i="40"/>
  <c r="I33" i="40"/>
  <c r="H33" i="40"/>
  <c r="V32" i="40"/>
  <c r="N32" i="40"/>
  <c r="M32" i="40"/>
  <c r="L32" i="40"/>
  <c r="J32" i="40"/>
  <c r="I32" i="40"/>
  <c r="K32" i="40" s="1"/>
  <c r="F32" i="40"/>
  <c r="H32" i="40" s="1"/>
  <c r="V31" i="40"/>
  <c r="M31" i="40"/>
  <c r="L31" i="40"/>
  <c r="N31" i="40" s="1"/>
  <c r="K31" i="40"/>
  <c r="J31" i="40"/>
  <c r="I31" i="40"/>
  <c r="H31" i="40"/>
  <c r="V30" i="40"/>
  <c r="M30" i="40"/>
  <c r="L30" i="40"/>
  <c r="N30" i="40" s="1"/>
  <c r="J30" i="40"/>
  <c r="K30" i="40" s="1"/>
  <c r="I30" i="40"/>
  <c r="H30" i="40"/>
  <c r="F30" i="40"/>
  <c r="V29" i="40"/>
  <c r="M29" i="40"/>
  <c r="L29" i="40"/>
  <c r="N29" i="40" s="1"/>
  <c r="J29" i="40"/>
  <c r="I29" i="40"/>
  <c r="K29" i="40" s="1"/>
  <c r="H29" i="40"/>
  <c r="V28" i="40"/>
  <c r="M28" i="40"/>
  <c r="L28" i="40"/>
  <c r="N28" i="40" s="1"/>
  <c r="J28" i="40"/>
  <c r="I28" i="40"/>
  <c r="K28" i="40" s="1"/>
  <c r="H28" i="40"/>
  <c r="V27" i="40"/>
  <c r="M27" i="40"/>
  <c r="N27" i="40" s="1"/>
  <c r="L27" i="40"/>
  <c r="K27" i="40"/>
  <c r="J27" i="40"/>
  <c r="H27" i="40"/>
  <c r="V26" i="40"/>
  <c r="M26" i="40"/>
  <c r="L26" i="40"/>
  <c r="N26" i="40" s="1"/>
  <c r="J26" i="40"/>
  <c r="I26" i="40"/>
  <c r="K26" i="40" s="1"/>
  <c r="H26" i="40"/>
  <c r="F26" i="40"/>
  <c r="V25" i="40"/>
  <c r="M25" i="40"/>
  <c r="L25" i="40"/>
  <c r="N25" i="40" s="1"/>
  <c r="K25" i="40"/>
  <c r="J25" i="40"/>
  <c r="H25" i="40"/>
  <c r="V24" i="40"/>
  <c r="M24" i="40"/>
  <c r="L24" i="40"/>
  <c r="N24" i="40" s="1"/>
  <c r="J24" i="40"/>
  <c r="K24" i="40" s="1"/>
  <c r="I24" i="40"/>
  <c r="H24" i="40"/>
  <c r="V23" i="40"/>
  <c r="M23" i="40"/>
  <c r="L23" i="40"/>
  <c r="N23" i="40" s="1"/>
  <c r="J23" i="40"/>
  <c r="I23" i="40"/>
  <c r="K23" i="40" s="1"/>
  <c r="H23" i="40"/>
  <c r="F23" i="40"/>
  <c r="V22" i="40"/>
  <c r="M22" i="40"/>
  <c r="L22" i="40"/>
  <c r="N22" i="40" s="1"/>
  <c r="J22" i="40"/>
  <c r="I22" i="40"/>
  <c r="K22" i="40" s="1"/>
  <c r="H22" i="40"/>
  <c r="F22" i="40"/>
  <c r="V21" i="40"/>
  <c r="V43" i="40" s="1"/>
  <c r="F43" i="40" s="1"/>
  <c r="N21" i="40"/>
  <c r="M21" i="40"/>
  <c r="L21" i="40"/>
  <c r="J21" i="40"/>
  <c r="I21" i="40"/>
  <c r="K21" i="40" s="1"/>
  <c r="I16" i="40"/>
  <c r="H9" i="40"/>
  <c r="H17" i="40" s="1"/>
  <c r="K106" i="40" s="1"/>
  <c r="D114" i="38"/>
  <c r="H110" i="38"/>
  <c r="H101" i="38"/>
  <c r="H98" i="38"/>
  <c r="H97" i="38"/>
  <c r="H96" i="38"/>
  <c r="H95" i="38"/>
  <c r="H94" i="38"/>
  <c r="H93" i="38"/>
  <c r="H92" i="38"/>
  <c r="H91" i="38"/>
  <c r="H90" i="38"/>
  <c r="H89" i="38"/>
  <c r="H88" i="38"/>
  <c r="H87" i="38"/>
  <c r="H86" i="38"/>
  <c r="H85" i="38"/>
  <c r="H99" i="38" s="1"/>
  <c r="H84" i="38"/>
  <c r="H83" i="38"/>
  <c r="H82" i="38"/>
  <c r="H81" i="38"/>
  <c r="H80" i="38"/>
  <c r="H79" i="38"/>
  <c r="H75" i="38"/>
  <c r="H74" i="38"/>
  <c r="H70" i="38"/>
  <c r="H71" i="38" s="1"/>
  <c r="H66" i="38"/>
  <c r="H65" i="38"/>
  <c r="H64" i="38"/>
  <c r="M60" i="38"/>
  <c r="F60" i="38" s="1"/>
  <c r="H60" i="38" s="1"/>
  <c r="M59" i="38"/>
  <c r="H59" i="38"/>
  <c r="H61" i="38" s="1"/>
  <c r="H55" i="38"/>
  <c r="H54" i="38"/>
  <c r="H53" i="38"/>
  <c r="M52" i="38"/>
  <c r="H52" i="38"/>
  <c r="M51" i="38"/>
  <c r="H51" i="38"/>
  <c r="M50" i="38"/>
  <c r="H50" i="38"/>
  <c r="M49" i="38"/>
  <c r="H49" i="38"/>
  <c r="H56" i="38" s="1"/>
  <c r="V42" i="38"/>
  <c r="N42" i="38"/>
  <c r="L42" i="38"/>
  <c r="I42" i="38"/>
  <c r="K42" i="38" s="1"/>
  <c r="F42" i="38"/>
  <c r="H42" i="38" s="1"/>
  <c r="V41" i="38"/>
  <c r="N41" i="38"/>
  <c r="L41" i="38"/>
  <c r="I41" i="38"/>
  <c r="K41" i="38" s="1"/>
  <c r="H41" i="38"/>
  <c r="V40" i="38"/>
  <c r="N40" i="38"/>
  <c r="L40" i="38"/>
  <c r="K40" i="38"/>
  <c r="I40" i="38"/>
  <c r="H40" i="38"/>
  <c r="V39" i="38"/>
  <c r="N39" i="38"/>
  <c r="L39" i="38"/>
  <c r="I39" i="38"/>
  <c r="K39" i="38" s="1"/>
  <c r="H39" i="38"/>
  <c r="N38" i="38"/>
  <c r="M38" i="38"/>
  <c r="L38" i="38"/>
  <c r="K38" i="38"/>
  <c r="J38" i="38"/>
  <c r="I38" i="38"/>
  <c r="H38" i="38"/>
  <c r="V37" i="38"/>
  <c r="M37" i="38"/>
  <c r="L37" i="38"/>
  <c r="N37" i="38" s="1"/>
  <c r="K37" i="38"/>
  <c r="J37" i="38"/>
  <c r="I37" i="38"/>
  <c r="H37" i="38"/>
  <c r="V36" i="38"/>
  <c r="M36" i="38"/>
  <c r="L36" i="38"/>
  <c r="N36" i="38" s="1"/>
  <c r="K36" i="38"/>
  <c r="J36" i="38"/>
  <c r="I36" i="38"/>
  <c r="H36" i="38"/>
  <c r="V35" i="38"/>
  <c r="N35" i="38"/>
  <c r="M35" i="38"/>
  <c r="L35" i="38"/>
  <c r="K35" i="38"/>
  <c r="J35" i="38"/>
  <c r="I35" i="38"/>
  <c r="H35" i="38"/>
  <c r="V34" i="38"/>
  <c r="M34" i="38"/>
  <c r="L34" i="38"/>
  <c r="N34" i="38" s="1"/>
  <c r="K34" i="38"/>
  <c r="J34" i="38"/>
  <c r="I34" i="38"/>
  <c r="H34" i="38"/>
  <c r="V33" i="38"/>
  <c r="M33" i="38"/>
  <c r="L33" i="38"/>
  <c r="N33" i="38" s="1"/>
  <c r="K33" i="38"/>
  <c r="J33" i="38"/>
  <c r="I33" i="38"/>
  <c r="H33" i="38"/>
  <c r="V32" i="38"/>
  <c r="N32" i="38"/>
  <c r="M32" i="38"/>
  <c r="L32" i="38"/>
  <c r="K32" i="38"/>
  <c r="J32" i="38"/>
  <c r="I32" i="38"/>
  <c r="F32" i="38"/>
  <c r="H32" i="38" s="1"/>
  <c r="V31" i="38"/>
  <c r="M31" i="38"/>
  <c r="L31" i="38"/>
  <c r="N31" i="38" s="1"/>
  <c r="K31" i="38"/>
  <c r="J31" i="38"/>
  <c r="I31" i="38"/>
  <c r="H31" i="38"/>
  <c r="V30" i="38"/>
  <c r="F30" i="38" s="1"/>
  <c r="H30" i="38" s="1"/>
  <c r="M30" i="38"/>
  <c r="L30" i="38"/>
  <c r="N30" i="38" s="1"/>
  <c r="J30" i="38"/>
  <c r="I30" i="38"/>
  <c r="K30" i="38" s="1"/>
  <c r="V29" i="38"/>
  <c r="M29" i="38"/>
  <c r="L29" i="38"/>
  <c r="N29" i="38" s="1"/>
  <c r="J29" i="38"/>
  <c r="I29" i="38"/>
  <c r="K29" i="38" s="1"/>
  <c r="H29" i="38"/>
  <c r="V28" i="38"/>
  <c r="M28" i="38"/>
  <c r="L28" i="38"/>
  <c r="N28" i="38" s="1"/>
  <c r="J28" i="38"/>
  <c r="I28" i="38"/>
  <c r="K28" i="38" s="1"/>
  <c r="H28" i="38"/>
  <c r="V27" i="38"/>
  <c r="M27" i="38"/>
  <c r="N27" i="38" s="1"/>
  <c r="L27" i="38"/>
  <c r="K27" i="38"/>
  <c r="J27" i="38"/>
  <c r="H27" i="38"/>
  <c r="V26" i="38"/>
  <c r="F26" i="38" s="1"/>
  <c r="H26" i="38" s="1"/>
  <c r="M26" i="38"/>
  <c r="L26" i="38"/>
  <c r="N26" i="38" s="1"/>
  <c r="J26" i="38"/>
  <c r="I26" i="38"/>
  <c r="K26" i="38" s="1"/>
  <c r="V25" i="38"/>
  <c r="M25" i="38"/>
  <c r="L25" i="38"/>
  <c r="N25" i="38" s="1"/>
  <c r="K25" i="38"/>
  <c r="J25" i="38"/>
  <c r="H25" i="38"/>
  <c r="V24" i="38"/>
  <c r="M24" i="38"/>
  <c r="L24" i="38"/>
  <c r="N24" i="38" s="1"/>
  <c r="J24" i="38"/>
  <c r="I24" i="38"/>
  <c r="K24" i="38" s="1"/>
  <c r="H24" i="38"/>
  <c r="V23" i="38"/>
  <c r="F23" i="38" s="1"/>
  <c r="H23" i="38" s="1"/>
  <c r="M23" i="38"/>
  <c r="L23" i="38"/>
  <c r="N23" i="38" s="1"/>
  <c r="J23" i="38"/>
  <c r="I23" i="38"/>
  <c r="K23" i="38" s="1"/>
  <c r="V22" i="38"/>
  <c r="M22" i="38"/>
  <c r="L22" i="38"/>
  <c r="N22" i="38" s="1"/>
  <c r="J22" i="38"/>
  <c r="I22" i="38"/>
  <c r="K22" i="38" s="1"/>
  <c r="F22" i="38"/>
  <c r="H22" i="38" s="1"/>
  <c r="V21" i="38"/>
  <c r="V43" i="38" s="1"/>
  <c r="F43" i="38" s="1"/>
  <c r="N21" i="38"/>
  <c r="M21" i="38"/>
  <c r="L21" i="38"/>
  <c r="J21" i="38"/>
  <c r="I21" i="38"/>
  <c r="K21" i="38" s="1"/>
  <c r="H17" i="38"/>
  <c r="K106" i="38" s="1"/>
  <c r="I16" i="38"/>
  <c r="H9" i="38"/>
  <c r="D114" i="35"/>
  <c r="H110" i="35"/>
  <c r="H101" i="35"/>
  <c r="H98" i="35"/>
  <c r="H97" i="35"/>
  <c r="H96" i="35"/>
  <c r="H95" i="35"/>
  <c r="H94" i="35"/>
  <c r="H93" i="35"/>
  <c r="H92" i="35"/>
  <c r="H91" i="35"/>
  <c r="H90" i="35"/>
  <c r="H89" i="35"/>
  <c r="H88" i="35"/>
  <c r="H87" i="35"/>
  <c r="H86" i="35"/>
  <c r="H85" i="35"/>
  <c r="H84" i="35"/>
  <c r="H83" i="35"/>
  <c r="H99" i="35" s="1"/>
  <c r="H82" i="35"/>
  <c r="H81" i="35"/>
  <c r="H80" i="35"/>
  <c r="H79" i="35"/>
  <c r="H75" i="35"/>
  <c r="H74" i="35"/>
  <c r="H70" i="35"/>
  <c r="H71" i="35" s="1"/>
  <c r="H66" i="35"/>
  <c r="H65" i="35"/>
  <c r="H64" i="35"/>
  <c r="M60" i="35"/>
  <c r="F60" i="35" s="1"/>
  <c r="H60" i="35" s="1"/>
  <c r="M59" i="35"/>
  <c r="H59" i="35"/>
  <c r="H61" i="35" s="1"/>
  <c r="H55" i="35"/>
  <c r="H54" i="35"/>
  <c r="H53" i="35"/>
  <c r="M52" i="35"/>
  <c r="H52" i="35"/>
  <c r="M51" i="35"/>
  <c r="H51" i="35"/>
  <c r="M50" i="35"/>
  <c r="H50" i="35"/>
  <c r="M49" i="35"/>
  <c r="H49" i="35"/>
  <c r="H56" i="35" s="1"/>
  <c r="V42" i="35"/>
  <c r="N42" i="35"/>
  <c r="L42" i="35"/>
  <c r="I42" i="35"/>
  <c r="K42" i="35" s="1"/>
  <c r="F42" i="35"/>
  <c r="H42" i="35" s="1"/>
  <c r="V41" i="35"/>
  <c r="N41" i="35"/>
  <c r="L41" i="35"/>
  <c r="K41" i="35"/>
  <c r="I41" i="35"/>
  <c r="H41" i="35"/>
  <c r="V40" i="35"/>
  <c r="L40" i="35"/>
  <c r="N40" i="35" s="1"/>
  <c r="K40" i="35"/>
  <c r="I40" i="35"/>
  <c r="H40" i="35"/>
  <c r="V39" i="35"/>
  <c r="N39" i="35"/>
  <c r="L39" i="35"/>
  <c r="K39" i="35"/>
  <c r="I39" i="35"/>
  <c r="H39" i="35"/>
  <c r="M38" i="35"/>
  <c r="L38" i="35"/>
  <c r="N38" i="35" s="1"/>
  <c r="J38" i="35"/>
  <c r="I38" i="35"/>
  <c r="K38" i="35" s="1"/>
  <c r="H38" i="35"/>
  <c r="V37" i="35"/>
  <c r="M37" i="35"/>
  <c r="N37" i="35" s="1"/>
  <c r="L37" i="35"/>
  <c r="J37" i="35"/>
  <c r="K37" i="35" s="1"/>
  <c r="I37" i="35"/>
  <c r="H37" i="35"/>
  <c r="V36" i="35"/>
  <c r="M36" i="35"/>
  <c r="L36" i="35"/>
  <c r="N36" i="35" s="1"/>
  <c r="K36" i="35"/>
  <c r="J36" i="35"/>
  <c r="I36" i="35"/>
  <c r="H36" i="35"/>
  <c r="V35" i="35"/>
  <c r="M35" i="35"/>
  <c r="L35" i="35"/>
  <c r="N35" i="35" s="1"/>
  <c r="K35" i="35"/>
  <c r="J35" i="35"/>
  <c r="I35" i="35"/>
  <c r="H35" i="35"/>
  <c r="V34" i="35"/>
  <c r="M34" i="35"/>
  <c r="N34" i="35" s="1"/>
  <c r="L34" i="35"/>
  <c r="J34" i="35"/>
  <c r="K34" i="35" s="1"/>
  <c r="I34" i="35"/>
  <c r="H34" i="35"/>
  <c r="V33" i="35"/>
  <c r="M33" i="35"/>
  <c r="L33" i="35"/>
  <c r="N33" i="35" s="1"/>
  <c r="K33" i="35"/>
  <c r="J33" i="35"/>
  <c r="I33" i="35"/>
  <c r="H33" i="35"/>
  <c r="V32" i="35"/>
  <c r="M32" i="35"/>
  <c r="L32" i="35"/>
  <c r="N32" i="35" s="1"/>
  <c r="K32" i="35"/>
  <c r="J32" i="35"/>
  <c r="I32" i="35"/>
  <c r="F32" i="35"/>
  <c r="H32" i="35" s="1"/>
  <c r="V31" i="35"/>
  <c r="N31" i="35"/>
  <c r="M31" i="35"/>
  <c r="L31" i="35"/>
  <c r="J31" i="35"/>
  <c r="I31" i="35"/>
  <c r="K31" i="35" s="1"/>
  <c r="H31" i="35"/>
  <c r="V30" i="35"/>
  <c r="F30" i="35" s="1"/>
  <c r="H30" i="35" s="1"/>
  <c r="M30" i="35"/>
  <c r="L30" i="35"/>
  <c r="N30" i="35" s="1"/>
  <c r="J30" i="35"/>
  <c r="K30" i="35" s="1"/>
  <c r="I30" i="35"/>
  <c r="V29" i="35"/>
  <c r="M29" i="35"/>
  <c r="N29" i="35" s="1"/>
  <c r="L29" i="35"/>
  <c r="J29" i="35"/>
  <c r="I29" i="35"/>
  <c r="K29" i="35" s="1"/>
  <c r="H29" i="35"/>
  <c r="V28" i="35"/>
  <c r="M28" i="35"/>
  <c r="L28" i="35"/>
  <c r="N28" i="35" s="1"/>
  <c r="J28" i="35"/>
  <c r="I28" i="35"/>
  <c r="K28" i="35" s="1"/>
  <c r="H28" i="35"/>
  <c r="V27" i="35"/>
  <c r="M27" i="35"/>
  <c r="N27" i="35" s="1"/>
  <c r="L27" i="35"/>
  <c r="K27" i="35"/>
  <c r="J27" i="35"/>
  <c r="H27" i="35"/>
  <c r="V26" i="35"/>
  <c r="M26" i="35"/>
  <c r="L26" i="35"/>
  <c r="N26" i="35" s="1"/>
  <c r="J26" i="35"/>
  <c r="I26" i="35"/>
  <c r="K26" i="35" s="1"/>
  <c r="H26" i="35"/>
  <c r="F26" i="35"/>
  <c r="V25" i="35"/>
  <c r="M25" i="35"/>
  <c r="L25" i="35"/>
  <c r="N25" i="35" s="1"/>
  <c r="J25" i="35"/>
  <c r="K25" i="35" s="1"/>
  <c r="H25" i="35"/>
  <c r="V24" i="35"/>
  <c r="M24" i="35"/>
  <c r="L24" i="35"/>
  <c r="N24" i="35" s="1"/>
  <c r="J24" i="35"/>
  <c r="K24" i="35" s="1"/>
  <c r="I24" i="35"/>
  <c r="H24" i="35"/>
  <c r="V23" i="35"/>
  <c r="M23" i="35"/>
  <c r="L23" i="35"/>
  <c r="N23" i="35" s="1"/>
  <c r="J23" i="35"/>
  <c r="I23" i="35"/>
  <c r="K23" i="35" s="1"/>
  <c r="H23" i="35"/>
  <c r="F23" i="35"/>
  <c r="V22" i="35"/>
  <c r="F22" i="35" s="1"/>
  <c r="H22" i="35" s="1"/>
  <c r="M22" i="35"/>
  <c r="L22" i="35"/>
  <c r="N22" i="35" s="1"/>
  <c r="N43" i="35" s="1"/>
  <c r="J22" i="35"/>
  <c r="I22" i="35"/>
  <c r="K22" i="35" s="1"/>
  <c r="V21" i="35"/>
  <c r="F21" i="35" s="1"/>
  <c r="H21" i="35" s="1"/>
  <c r="N21" i="35"/>
  <c r="M21" i="35"/>
  <c r="L21" i="35"/>
  <c r="J21" i="35"/>
  <c r="I21" i="35"/>
  <c r="K21" i="35" s="1"/>
  <c r="H17" i="35"/>
  <c r="K106" i="35" s="1"/>
  <c r="I16" i="35"/>
  <c r="H9" i="35"/>
  <c r="D114" i="32"/>
  <c r="H110" i="32"/>
  <c r="H101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99" i="32" s="1"/>
  <c r="H84" i="32"/>
  <c r="H83" i="32"/>
  <c r="H82" i="32"/>
  <c r="H81" i="32"/>
  <c r="H80" i="32"/>
  <c r="H79" i="32"/>
  <c r="H75" i="32"/>
  <c r="H74" i="32"/>
  <c r="H70" i="32"/>
  <c r="H71" i="32" s="1"/>
  <c r="H66" i="32"/>
  <c r="H65" i="32"/>
  <c r="H64" i="32"/>
  <c r="M60" i="32"/>
  <c r="F60" i="32" s="1"/>
  <c r="H60" i="32" s="1"/>
  <c r="M59" i="32"/>
  <c r="H59" i="32"/>
  <c r="H61" i="32" s="1"/>
  <c r="H55" i="32"/>
  <c r="H54" i="32"/>
  <c r="H53" i="32"/>
  <c r="M52" i="32"/>
  <c r="H52" i="32"/>
  <c r="M51" i="32"/>
  <c r="H51" i="32"/>
  <c r="M50" i="32"/>
  <c r="H50" i="32"/>
  <c r="M49" i="32"/>
  <c r="H49" i="32"/>
  <c r="H56" i="32" s="1"/>
  <c r="V42" i="32"/>
  <c r="L42" i="32"/>
  <c r="N42" i="32" s="1"/>
  <c r="I42" i="32"/>
  <c r="K42" i="32" s="1"/>
  <c r="F42" i="32"/>
  <c r="H42" i="32" s="1"/>
  <c r="V41" i="32"/>
  <c r="N41" i="32"/>
  <c r="L41" i="32"/>
  <c r="I41" i="32"/>
  <c r="K41" i="32" s="1"/>
  <c r="H41" i="32"/>
  <c r="V40" i="32"/>
  <c r="N40" i="32"/>
  <c r="L40" i="32"/>
  <c r="K40" i="32"/>
  <c r="I40" i="32"/>
  <c r="H40" i="32"/>
  <c r="V39" i="32"/>
  <c r="N39" i="32"/>
  <c r="L39" i="32"/>
  <c r="I39" i="32"/>
  <c r="K39" i="32" s="1"/>
  <c r="H39" i="32"/>
  <c r="N38" i="32"/>
  <c r="M38" i="32"/>
  <c r="L38" i="32"/>
  <c r="J38" i="32"/>
  <c r="I38" i="32"/>
  <c r="K38" i="32" s="1"/>
  <c r="H38" i="32"/>
  <c r="V37" i="32"/>
  <c r="M37" i="32"/>
  <c r="L37" i="32"/>
  <c r="N37" i="32" s="1"/>
  <c r="J37" i="32"/>
  <c r="K37" i="32" s="1"/>
  <c r="I37" i="32"/>
  <c r="H37" i="32"/>
  <c r="V36" i="32"/>
  <c r="M36" i="32"/>
  <c r="L36" i="32"/>
  <c r="N36" i="32" s="1"/>
  <c r="K36" i="32"/>
  <c r="J36" i="32"/>
  <c r="I36" i="32"/>
  <c r="H36" i="32"/>
  <c r="V35" i="32"/>
  <c r="N35" i="32"/>
  <c r="M35" i="32"/>
  <c r="L35" i="32"/>
  <c r="J35" i="32"/>
  <c r="I35" i="32"/>
  <c r="K35" i="32" s="1"/>
  <c r="H35" i="32"/>
  <c r="V34" i="32"/>
  <c r="M34" i="32"/>
  <c r="N34" i="32" s="1"/>
  <c r="L34" i="32"/>
  <c r="K34" i="32"/>
  <c r="J34" i="32"/>
  <c r="I34" i="32"/>
  <c r="H34" i="32"/>
  <c r="V33" i="32"/>
  <c r="M33" i="32"/>
  <c r="L33" i="32"/>
  <c r="N33" i="32" s="1"/>
  <c r="K33" i="32"/>
  <c r="J33" i="32"/>
  <c r="I33" i="32"/>
  <c r="H33" i="32"/>
  <c r="V32" i="32"/>
  <c r="N32" i="32"/>
  <c r="M32" i="32"/>
  <c r="L32" i="32"/>
  <c r="J32" i="32"/>
  <c r="I32" i="32"/>
  <c r="K32" i="32" s="1"/>
  <c r="F32" i="32"/>
  <c r="H32" i="32" s="1"/>
  <c r="V31" i="32"/>
  <c r="M31" i="32"/>
  <c r="L31" i="32"/>
  <c r="N31" i="32" s="1"/>
  <c r="K31" i="32"/>
  <c r="J31" i="32"/>
  <c r="I31" i="32"/>
  <c r="H31" i="32"/>
  <c r="V30" i="32"/>
  <c r="M30" i="32"/>
  <c r="L30" i="32"/>
  <c r="N30" i="32" s="1"/>
  <c r="K30" i="32"/>
  <c r="J30" i="32"/>
  <c r="I30" i="32"/>
  <c r="H30" i="32"/>
  <c r="F30" i="32"/>
  <c r="V29" i="32"/>
  <c r="M29" i="32"/>
  <c r="L29" i="32"/>
  <c r="N29" i="32" s="1"/>
  <c r="J29" i="32"/>
  <c r="I29" i="32"/>
  <c r="K29" i="32" s="1"/>
  <c r="H29" i="32"/>
  <c r="V28" i="32"/>
  <c r="M28" i="32"/>
  <c r="L28" i="32"/>
  <c r="N28" i="32" s="1"/>
  <c r="K28" i="32"/>
  <c r="J28" i="32"/>
  <c r="I28" i="32"/>
  <c r="H28" i="32"/>
  <c r="V27" i="32"/>
  <c r="M27" i="32"/>
  <c r="N27" i="32" s="1"/>
  <c r="L27" i="32"/>
  <c r="J27" i="32"/>
  <c r="K27" i="32" s="1"/>
  <c r="H27" i="32"/>
  <c r="V26" i="32"/>
  <c r="F26" i="32" s="1"/>
  <c r="H26" i="32" s="1"/>
  <c r="N26" i="32"/>
  <c r="M26" i="32"/>
  <c r="L26" i="32"/>
  <c r="J26" i="32"/>
  <c r="I26" i="32"/>
  <c r="K26" i="32" s="1"/>
  <c r="V25" i="32"/>
  <c r="M25" i="32"/>
  <c r="L25" i="32"/>
  <c r="N25" i="32" s="1"/>
  <c r="K25" i="32"/>
  <c r="J25" i="32"/>
  <c r="H25" i="32"/>
  <c r="V24" i="32"/>
  <c r="M24" i="32"/>
  <c r="L24" i="32"/>
  <c r="N24" i="32" s="1"/>
  <c r="K24" i="32"/>
  <c r="J24" i="32"/>
  <c r="I24" i="32"/>
  <c r="H24" i="32"/>
  <c r="V23" i="32"/>
  <c r="N23" i="32"/>
  <c r="M23" i="32"/>
  <c r="L23" i="32"/>
  <c r="J23" i="32"/>
  <c r="I23" i="32"/>
  <c r="K23" i="32" s="1"/>
  <c r="H23" i="32"/>
  <c r="F23" i="32"/>
  <c r="V22" i="32"/>
  <c r="M22" i="32"/>
  <c r="L22" i="32"/>
  <c r="N22" i="32" s="1"/>
  <c r="K22" i="32"/>
  <c r="J22" i="32"/>
  <c r="I22" i="32"/>
  <c r="F22" i="32"/>
  <c r="H22" i="32" s="1"/>
  <c r="V21" i="32"/>
  <c r="F21" i="32" s="1"/>
  <c r="H21" i="32" s="1"/>
  <c r="N21" i="32"/>
  <c r="M21" i="32"/>
  <c r="L21" i="32"/>
  <c r="J21" i="32"/>
  <c r="I21" i="32"/>
  <c r="K21" i="32" s="1"/>
  <c r="I16" i="32"/>
  <c r="H9" i="32"/>
  <c r="H17" i="32" s="1"/>
  <c r="K106" i="32" s="1"/>
  <c r="F49" i="2"/>
  <c r="F48" i="2"/>
  <c r="F46" i="2"/>
  <c r="F45" i="2"/>
  <c r="F44" i="2"/>
  <c r="F43" i="2"/>
  <c r="F42" i="2"/>
  <c r="F41" i="2"/>
  <c r="F38" i="2"/>
  <c r="F37" i="2"/>
  <c r="G32" i="2"/>
  <c r="F36" i="2"/>
  <c r="F35" i="2"/>
  <c r="F34" i="2"/>
  <c r="F33" i="2"/>
  <c r="G33" i="2" s="1"/>
  <c r="F28" i="2"/>
  <c r="F27" i="2"/>
  <c r="F31" i="2"/>
  <c r="F30" i="2"/>
  <c r="F29" i="2"/>
  <c r="F25" i="2"/>
  <c r="F24" i="2"/>
  <c r="F23" i="2"/>
  <c r="F22" i="2"/>
  <c r="F21" i="2"/>
  <c r="F20" i="2"/>
  <c r="F19" i="2"/>
  <c r="G28" i="2" l="1"/>
  <c r="G41" i="2"/>
  <c r="H99" i="40"/>
  <c r="H61" i="40"/>
  <c r="K43" i="40"/>
  <c r="N43" i="40"/>
  <c r="F21" i="40"/>
  <c r="H21" i="40" s="1"/>
  <c r="H43" i="40" s="1"/>
  <c r="K43" i="38"/>
  <c r="N43" i="38"/>
  <c r="F21" i="38"/>
  <c r="H21" i="38" s="1"/>
  <c r="H43" i="38" s="1"/>
  <c r="H44" i="38" s="1"/>
  <c r="H43" i="35"/>
  <c r="K43" i="35"/>
  <c r="V43" i="35"/>
  <c r="F43" i="35" s="1"/>
  <c r="H43" i="32"/>
  <c r="N43" i="32"/>
  <c r="K43" i="32"/>
  <c r="V43" i="32"/>
  <c r="F43" i="32" s="1"/>
  <c r="G20" i="2"/>
  <c r="H44" i="40" l="1"/>
  <c r="H45" i="40" s="1"/>
  <c r="H76" i="40" s="1"/>
  <c r="H45" i="38"/>
  <c r="H76" i="38" s="1"/>
  <c r="K107" i="38"/>
  <c r="H44" i="35"/>
  <c r="H44" i="32"/>
  <c r="K107" i="40" l="1"/>
  <c r="H102" i="40"/>
  <c r="K108" i="40"/>
  <c r="K109" i="40" s="1"/>
  <c r="H102" i="38"/>
  <c r="K108" i="38"/>
  <c r="K109" i="38" s="1"/>
  <c r="H45" i="35"/>
  <c r="H76" i="35" s="1"/>
  <c r="K107" i="35"/>
  <c r="H45" i="32"/>
  <c r="H76" i="32" s="1"/>
  <c r="K107" i="32"/>
  <c r="H103" i="40" l="1"/>
  <c r="H103" i="38"/>
  <c r="H102" i="35"/>
  <c r="K108" i="35"/>
  <c r="K109" i="35" s="1"/>
  <c r="H102" i="32"/>
  <c r="K108" i="32"/>
  <c r="K109" i="32" s="1"/>
  <c r="H104" i="40" l="1"/>
  <c r="H104" i="38"/>
  <c r="H103" i="35"/>
  <c r="H103" i="32"/>
  <c r="H106" i="40" l="1"/>
  <c r="I106" i="40" s="1"/>
  <c r="H106" i="38"/>
  <c r="I106" i="38" s="1"/>
  <c r="H107" i="38"/>
  <c r="H104" i="35"/>
  <c r="H104" i="32"/>
  <c r="H107" i="40" l="1"/>
  <c r="H108" i="40" s="1"/>
  <c r="H109" i="40" s="1"/>
  <c r="H108" i="38"/>
  <c r="H109" i="38" s="1"/>
  <c r="H106" i="35"/>
  <c r="I106" i="35" s="1"/>
  <c r="H106" i="32"/>
  <c r="I106" i="32" s="1"/>
  <c r="H111" i="40" l="1"/>
  <c r="J110" i="40"/>
  <c r="L109" i="40"/>
  <c r="M109" i="40" s="1"/>
  <c r="H111" i="38"/>
  <c r="J110" i="38"/>
  <c r="L109" i="38"/>
  <c r="M109" i="38" s="1"/>
  <c r="H107" i="35"/>
  <c r="H107" i="32"/>
  <c r="I103" i="40" l="1"/>
  <c r="J103" i="40"/>
  <c r="I103" i="38"/>
  <c r="J103" i="38"/>
  <c r="H108" i="35"/>
  <c r="H109" i="35" s="1"/>
  <c r="H108" i="32"/>
  <c r="H109" i="32" s="1"/>
  <c r="H111" i="35" l="1"/>
  <c r="J110" i="35"/>
  <c r="L109" i="35"/>
  <c r="M109" i="35" s="1"/>
  <c r="H111" i="32"/>
  <c r="J110" i="32"/>
  <c r="L109" i="32"/>
  <c r="M109" i="32" s="1"/>
  <c r="I103" i="35" l="1"/>
  <c r="J103" i="35"/>
  <c r="I103" i="32"/>
  <c r="J103" i="32"/>
  <c r="H9" i="37" l="1"/>
  <c r="H11" i="29"/>
  <c r="H11" i="27"/>
  <c r="H11" i="13"/>
  <c r="H99" i="39"/>
  <c r="H9" i="10"/>
  <c r="H101" i="41"/>
  <c r="H98" i="41"/>
  <c r="H97" i="41"/>
  <c r="H96" i="41"/>
  <c r="H95" i="41"/>
  <c r="H94" i="41"/>
  <c r="H93" i="41"/>
  <c r="H92" i="41"/>
  <c r="H91" i="41"/>
  <c r="H90" i="41"/>
  <c r="H89" i="41"/>
  <c r="H88" i="41"/>
  <c r="H87" i="41"/>
  <c r="H86" i="41"/>
  <c r="H85" i="41"/>
  <c r="H84" i="41"/>
  <c r="H83" i="41"/>
  <c r="H82" i="41"/>
  <c r="H81" i="41"/>
  <c r="H80" i="41"/>
  <c r="H79" i="41"/>
  <c r="H99" i="41" s="1"/>
  <c r="H75" i="41"/>
  <c r="H74" i="41"/>
  <c r="H70" i="41"/>
  <c r="H71" i="41" s="1"/>
  <c r="H65" i="41"/>
  <c r="H64" i="41"/>
  <c r="H66" i="41" s="1"/>
  <c r="M60" i="41"/>
  <c r="F60" i="41" s="1"/>
  <c r="H60" i="41" s="1"/>
  <c r="H61" i="41" s="1"/>
  <c r="M59" i="41"/>
  <c r="H59" i="41"/>
  <c r="H55" i="41"/>
  <c r="H54" i="41"/>
  <c r="H53" i="41"/>
  <c r="M52" i="41"/>
  <c r="F52" i="41"/>
  <c r="H52" i="41" s="1"/>
  <c r="M51" i="41"/>
  <c r="H51" i="41"/>
  <c r="M50" i="41"/>
  <c r="H50" i="41"/>
  <c r="M49" i="41"/>
  <c r="H49" i="41"/>
  <c r="V42" i="41"/>
  <c r="F42" i="41" s="1"/>
  <c r="H42" i="41" s="1"/>
  <c r="N42" i="41"/>
  <c r="L42" i="41"/>
  <c r="K42" i="41"/>
  <c r="I42" i="41"/>
  <c r="V41" i="41"/>
  <c r="F41" i="41" s="1"/>
  <c r="H41" i="41" s="1"/>
  <c r="N41" i="41"/>
  <c r="L41" i="41"/>
  <c r="K41" i="41"/>
  <c r="I41" i="41"/>
  <c r="V40" i="41"/>
  <c r="N40" i="41"/>
  <c r="L40" i="41"/>
  <c r="K40" i="41"/>
  <c r="I40" i="41"/>
  <c r="F40" i="41"/>
  <c r="H40" i="41" s="1"/>
  <c r="V39" i="41"/>
  <c r="F39" i="41" s="1"/>
  <c r="H39" i="41" s="1"/>
  <c r="N39" i="41"/>
  <c r="L39" i="41"/>
  <c r="K39" i="41"/>
  <c r="I39" i="41"/>
  <c r="M38" i="41"/>
  <c r="L38" i="41"/>
  <c r="N38" i="41" s="1"/>
  <c r="J38" i="41"/>
  <c r="I38" i="41"/>
  <c r="K38" i="41" s="1"/>
  <c r="H38" i="41"/>
  <c r="F38" i="41"/>
  <c r="V37" i="41"/>
  <c r="M37" i="41"/>
  <c r="N37" i="41" s="1"/>
  <c r="L37" i="41"/>
  <c r="J37" i="41"/>
  <c r="I37" i="41"/>
  <c r="K37" i="41" s="1"/>
  <c r="H37" i="41"/>
  <c r="V36" i="41"/>
  <c r="M36" i="41"/>
  <c r="N36" i="41" s="1"/>
  <c r="L36" i="41"/>
  <c r="K36" i="41"/>
  <c r="J36" i="41"/>
  <c r="I36" i="41"/>
  <c r="H36" i="41"/>
  <c r="V35" i="41"/>
  <c r="M35" i="41"/>
  <c r="L35" i="41"/>
  <c r="N35" i="41" s="1"/>
  <c r="J35" i="41"/>
  <c r="I35" i="41"/>
  <c r="K35" i="41" s="1"/>
  <c r="H35" i="41"/>
  <c r="V34" i="41"/>
  <c r="N34" i="41"/>
  <c r="M34" i="41"/>
  <c r="L34" i="41"/>
  <c r="J34" i="41"/>
  <c r="I34" i="41"/>
  <c r="K34" i="41" s="1"/>
  <c r="F34" i="41"/>
  <c r="H34" i="41" s="1"/>
  <c r="V33" i="41"/>
  <c r="N33" i="41"/>
  <c r="M33" i="41"/>
  <c r="L33" i="41"/>
  <c r="K33" i="41"/>
  <c r="J33" i="41"/>
  <c r="I33" i="41"/>
  <c r="H33" i="41"/>
  <c r="V32" i="41"/>
  <c r="M32" i="41"/>
  <c r="L32" i="41"/>
  <c r="N32" i="41" s="1"/>
  <c r="J32" i="41"/>
  <c r="K32" i="41" s="1"/>
  <c r="I32" i="41"/>
  <c r="H32" i="41"/>
  <c r="V31" i="41"/>
  <c r="N31" i="41"/>
  <c r="M31" i="41"/>
  <c r="L31" i="41"/>
  <c r="J31" i="41"/>
  <c r="I31" i="41"/>
  <c r="K31" i="41" s="1"/>
  <c r="H31" i="41"/>
  <c r="V30" i="41"/>
  <c r="F30" i="41" s="1"/>
  <c r="H30" i="41" s="1"/>
  <c r="N30" i="41"/>
  <c r="M30" i="41"/>
  <c r="L30" i="41"/>
  <c r="K30" i="41"/>
  <c r="J30" i="41"/>
  <c r="I30" i="41"/>
  <c r="V29" i="41"/>
  <c r="M29" i="41"/>
  <c r="L29" i="41"/>
  <c r="N29" i="41" s="1"/>
  <c r="K29" i="41"/>
  <c r="J29" i="41"/>
  <c r="I29" i="41"/>
  <c r="H29" i="41"/>
  <c r="V28" i="41"/>
  <c r="M28" i="41"/>
  <c r="L28" i="41"/>
  <c r="N28" i="41" s="1"/>
  <c r="J28" i="41"/>
  <c r="I28" i="41"/>
  <c r="K28" i="41" s="1"/>
  <c r="H28" i="41"/>
  <c r="V27" i="41"/>
  <c r="M27" i="41"/>
  <c r="L27" i="41"/>
  <c r="N27" i="41" s="1"/>
  <c r="K27" i="41"/>
  <c r="J27" i="41"/>
  <c r="I27" i="41"/>
  <c r="H27" i="41"/>
  <c r="V26" i="41"/>
  <c r="F26" i="41" s="1"/>
  <c r="H26" i="41" s="1"/>
  <c r="M26" i="41"/>
  <c r="L26" i="41"/>
  <c r="N26" i="41" s="1"/>
  <c r="K26" i="41"/>
  <c r="J26" i="41"/>
  <c r="I26" i="41"/>
  <c r="V25" i="41"/>
  <c r="M25" i="41"/>
  <c r="L25" i="41"/>
  <c r="N25" i="41" s="1"/>
  <c r="J25" i="41"/>
  <c r="I25" i="41"/>
  <c r="K25" i="41" s="1"/>
  <c r="H25" i="41"/>
  <c r="V24" i="41"/>
  <c r="N24" i="41"/>
  <c r="M24" i="41"/>
  <c r="L24" i="41"/>
  <c r="J24" i="41"/>
  <c r="I24" i="41"/>
  <c r="K24" i="41" s="1"/>
  <c r="H24" i="41"/>
  <c r="V23" i="41"/>
  <c r="F23" i="41" s="1"/>
  <c r="H23" i="41" s="1"/>
  <c r="M23" i="41"/>
  <c r="L23" i="41"/>
  <c r="N23" i="41" s="1"/>
  <c r="J23" i="41"/>
  <c r="I23" i="41"/>
  <c r="K23" i="41" s="1"/>
  <c r="V22" i="41"/>
  <c r="M22" i="41"/>
  <c r="L22" i="41"/>
  <c r="N22" i="41" s="1"/>
  <c r="N43" i="41" s="1"/>
  <c r="J22" i="41"/>
  <c r="I22" i="41"/>
  <c r="K22" i="41" s="1"/>
  <c r="F22" i="41"/>
  <c r="H22" i="41" s="1"/>
  <c r="V21" i="41"/>
  <c r="V43" i="41" s="1"/>
  <c r="F43" i="41" s="1"/>
  <c r="N21" i="41"/>
  <c r="M21" i="41"/>
  <c r="L21" i="41"/>
  <c r="J21" i="41"/>
  <c r="I21" i="41"/>
  <c r="K21" i="41" s="1"/>
  <c r="H21" i="41"/>
  <c r="F21" i="41"/>
  <c r="H16" i="41"/>
  <c r="H15" i="41"/>
  <c r="H14" i="41"/>
  <c r="H13" i="41"/>
  <c r="H12" i="41"/>
  <c r="H11" i="41"/>
  <c r="H10" i="41"/>
  <c r="H9" i="41"/>
  <c r="H102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4" i="39"/>
  <c r="H75" i="39" s="1"/>
  <c r="H70" i="39"/>
  <c r="H71" i="39" s="1"/>
  <c r="H65" i="39"/>
  <c r="H64" i="39"/>
  <c r="M60" i="39"/>
  <c r="F60" i="39" s="1"/>
  <c r="H60" i="39" s="1"/>
  <c r="M59" i="39"/>
  <c r="H59" i="39"/>
  <c r="H55" i="39"/>
  <c r="H54" i="39"/>
  <c r="H53" i="39"/>
  <c r="M52" i="39"/>
  <c r="F52" i="39" s="1"/>
  <c r="H52" i="39" s="1"/>
  <c r="M51" i="39"/>
  <c r="H51" i="39"/>
  <c r="M50" i="39"/>
  <c r="H50" i="39"/>
  <c r="M49" i="39"/>
  <c r="H49" i="39"/>
  <c r="V42" i="39"/>
  <c r="F42" i="39" s="1"/>
  <c r="H42" i="39" s="1"/>
  <c r="L42" i="39"/>
  <c r="N42" i="39" s="1"/>
  <c r="I42" i="39"/>
  <c r="K42" i="39" s="1"/>
  <c r="V41" i="39"/>
  <c r="F41" i="39" s="1"/>
  <c r="H41" i="39" s="1"/>
  <c r="L41" i="39"/>
  <c r="N41" i="39" s="1"/>
  <c r="I41" i="39"/>
  <c r="K41" i="39" s="1"/>
  <c r="V40" i="39"/>
  <c r="F40" i="39" s="1"/>
  <c r="H40" i="39" s="1"/>
  <c r="L40" i="39"/>
  <c r="N40" i="39" s="1"/>
  <c r="I40" i="39"/>
  <c r="K40" i="39" s="1"/>
  <c r="V39" i="39"/>
  <c r="F39" i="39" s="1"/>
  <c r="H39" i="39" s="1"/>
  <c r="L39" i="39"/>
  <c r="N39" i="39" s="1"/>
  <c r="I39" i="39"/>
  <c r="K39" i="39" s="1"/>
  <c r="M38" i="39"/>
  <c r="L38" i="39"/>
  <c r="J38" i="39"/>
  <c r="I38" i="39"/>
  <c r="F38" i="39"/>
  <c r="H38" i="39" s="1"/>
  <c r="V37" i="39"/>
  <c r="M37" i="39"/>
  <c r="L37" i="39"/>
  <c r="J37" i="39"/>
  <c r="I37" i="39"/>
  <c r="H37" i="39"/>
  <c r="V36" i="39"/>
  <c r="M36" i="39"/>
  <c r="N36" i="39" s="1"/>
  <c r="L36" i="39"/>
  <c r="J36" i="39"/>
  <c r="I36" i="39"/>
  <c r="H36" i="39"/>
  <c r="V35" i="39"/>
  <c r="M35" i="39"/>
  <c r="L35" i="39"/>
  <c r="J35" i="39"/>
  <c r="I35" i="39"/>
  <c r="H35" i="39"/>
  <c r="V34" i="39"/>
  <c r="F34" i="39" s="1"/>
  <c r="H34" i="39" s="1"/>
  <c r="M34" i="39"/>
  <c r="L34" i="39"/>
  <c r="J34" i="39"/>
  <c r="I34" i="39"/>
  <c r="V33" i="39"/>
  <c r="M33" i="39"/>
  <c r="L33" i="39"/>
  <c r="J33" i="39"/>
  <c r="I33" i="39"/>
  <c r="H33" i="39"/>
  <c r="V32" i="39"/>
  <c r="M32" i="39"/>
  <c r="L32" i="39"/>
  <c r="J32" i="39"/>
  <c r="I32" i="39"/>
  <c r="H32" i="39"/>
  <c r="V31" i="39"/>
  <c r="M31" i="39"/>
  <c r="L31" i="39"/>
  <c r="J31" i="39"/>
  <c r="I31" i="39"/>
  <c r="H31" i="39"/>
  <c r="V30" i="39"/>
  <c r="F30" i="39" s="1"/>
  <c r="H30" i="39" s="1"/>
  <c r="M30" i="39"/>
  <c r="L30" i="39"/>
  <c r="J30" i="39"/>
  <c r="I30" i="39"/>
  <c r="V29" i="39"/>
  <c r="M29" i="39"/>
  <c r="L29" i="39"/>
  <c r="J29" i="39"/>
  <c r="K29" i="39" s="1"/>
  <c r="I29" i="39"/>
  <c r="H29" i="39"/>
  <c r="V28" i="39"/>
  <c r="M28" i="39"/>
  <c r="L28" i="39"/>
  <c r="J28" i="39"/>
  <c r="I28" i="39"/>
  <c r="H28" i="39"/>
  <c r="V27" i="39"/>
  <c r="M27" i="39"/>
  <c r="L27" i="39"/>
  <c r="J27" i="39"/>
  <c r="I27" i="39"/>
  <c r="K27" i="39" s="1"/>
  <c r="H27" i="39"/>
  <c r="V26" i="39"/>
  <c r="F26" i="39" s="1"/>
  <c r="H26" i="39" s="1"/>
  <c r="M26" i="39"/>
  <c r="L26" i="39"/>
  <c r="N26" i="39" s="1"/>
  <c r="J26" i="39"/>
  <c r="I26" i="39"/>
  <c r="K26" i="39" s="1"/>
  <c r="V25" i="39"/>
  <c r="M25" i="39"/>
  <c r="L25" i="39"/>
  <c r="J25" i="39"/>
  <c r="I25" i="39"/>
  <c r="H25" i="39"/>
  <c r="V24" i="39"/>
  <c r="M24" i="39"/>
  <c r="L24" i="39"/>
  <c r="J24" i="39"/>
  <c r="I24" i="39"/>
  <c r="H24" i="39"/>
  <c r="V23" i="39"/>
  <c r="F23" i="39" s="1"/>
  <c r="H23" i="39" s="1"/>
  <c r="M23" i="39"/>
  <c r="L23" i="39"/>
  <c r="J23" i="39"/>
  <c r="I23" i="39"/>
  <c r="V22" i="39"/>
  <c r="F22" i="39" s="1"/>
  <c r="H22" i="39" s="1"/>
  <c r="M22" i="39"/>
  <c r="L22" i="39"/>
  <c r="J22" i="39"/>
  <c r="I22" i="39"/>
  <c r="K22" i="39" s="1"/>
  <c r="V21" i="39"/>
  <c r="M21" i="39"/>
  <c r="L21" i="39"/>
  <c r="J21" i="39"/>
  <c r="I21" i="39"/>
  <c r="H16" i="39"/>
  <c r="H15" i="39"/>
  <c r="H14" i="39"/>
  <c r="H13" i="39"/>
  <c r="H12" i="39"/>
  <c r="H11" i="39"/>
  <c r="H10" i="39"/>
  <c r="H9" i="39"/>
  <c r="H101" i="37"/>
  <c r="H98" i="37"/>
  <c r="H97" i="37"/>
  <c r="H96" i="37"/>
  <c r="H95" i="37"/>
  <c r="H94" i="37"/>
  <c r="H93" i="37"/>
  <c r="H92" i="37"/>
  <c r="H91" i="37"/>
  <c r="H90" i="37"/>
  <c r="H89" i="37"/>
  <c r="H88" i="37"/>
  <c r="H87" i="37"/>
  <c r="H86" i="37"/>
  <c r="H85" i="37"/>
  <c r="H84" i="37"/>
  <c r="H83" i="37"/>
  <c r="H82" i="37"/>
  <c r="H81" i="37"/>
  <c r="H80" i="37"/>
  <c r="H79" i="37"/>
  <c r="H99" i="37" s="1"/>
  <c r="H74" i="37"/>
  <c r="H75" i="37" s="1"/>
  <c r="H70" i="37"/>
  <c r="H71" i="37" s="1"/>
  <c r="H66" i="37"/>
  <c r="H65" i="37"/>
  <c r="H64" i="37"/>
  <c r="M60" i="37"/>
  <c r="F60" i="37"/>
  <c r="H60" i="37" s="1"/>
  <c r="H61" i="37" s="1"/>
  <c r="M59" i="37"/>
  <c r="H59" i="37"/>
  <c r="H55" i="37"/>
  <c r="H54" i="37"/>
  <c r="H53" i="37"/>
  <c r="M52" i="37"/>
  <c r="F52" i="37"/>
  <c r="H52" i="37" s="1"/>
  <c r="M51" i="37"/>
  <c r="H51" i="37"/>
  <c r="M50" i="37"/>
  <c r="H50" i="37"/>
  <c r="M49" i="37"/>
  <c r="H49" i="37"/>
  <c r="V42" i="37"/>
  <c r="F42" i="37" s="1"/>
  <c r="H42" i="37" s="1"/>
  <c r="L42" i="37"/>
  <c r="N42" i="37" s="1"/>
  <c r="I42" i="37"/>
  <c r="K42" i="37" s="1"/>
  <c r="V41" i="37"/>
  <c r="F41" i="37" s="1"/>
  <c r="H41" i="37" s="1"/>
  <c r="N41" i="37"/>
  <c r="L41" i="37"/>
  <c r="K41" i="37"/>
  <c r="I41" i="37"/>
  <c r="V40" i="37"/>
  <c r="F40" i="37" s="1"/>
  <c r="H40" i="37" s="1"/>
  <c r="L40" i="37"/>
  <c r="N40" i="37" s="1"/>
  <c r="I40" i="37"/>
  <c r="K40" i="37" s="1"/>
  <c r="V39" i="37"/>
  <c r="F39" i="37" s="1"/>
  <c r="H39" i="37" s="1"/>
  <c r="N39" i="37"/>
  <c r="L39" i="37"/>
  <c r="I39" i="37"/>
  <c r="K39" i="37" s="1"/>
  <c r="N38" i="37"/>
  <c r="M38" i="37"/>
  <c r="L38" i="37"/>
  <c r="K38" i="37"/>
  <c r="J38" i="37"/>
  <c r="I38" i="37"/>
  <c r="H38" i="37"/>
  <c r="F38" i="37"/>
  <c r="V37" i="37"/>
  <c r="M37" i="37"/>
  <c r="N37" i="37" s="1"/>
  <c r="L37" i="37"/>
  <c r="K37" i="37"/>
  <c r="J37" i="37"/>
  <c r="I37" i="37"/>
  <c r="H37" i="37"/>
  <c r="V36" i="37"/>
  <c r="M36" i="37"/>
  <c r="N36" i="37" s="1"/>
  <c r="L36" i="37"/>
  <c r="J36" i="37"/>
  <c r="I36" i="37"/>
  <c r="K36" i="37" s="1"/>
  <c r="H36" i="37"/>
  <c r="V35" i="37"/>
  <c r="M35" i="37"/>
  <c r="L35" i="37"/>
  <c r="N35" i="37" s="1"/>
  <c r="J35" i="37"/>
  <c r="I35" i="37"/>
  <c r="K35" i="37" s="1"/>
  <c r="H35" i="37"/>
  <c r="V34" i="37"/>
  <c r="M34" i="37"/>
  <c r="N34" i="37" s="1"/>
  <c r="L34" i="37"/>
  <c r="K34" i="37"/>
  <c r="J34" i="37"/>
  <c r="I34" i="37"/>
  <c r="H34" i="37"/>
  <c r="F34" i="37"/>
  <c r="V33" i="37"/>
  <c r="N33" i="37"/>
  <c r="M33" i="37"/>
  <c r="L33" i="37"/>
  <c r="J33" i="37"/>
  <c r="K33" i="37" s="1"/>
  <c r="I33" i="37"/>
  <c r="H33" i="37"/>
  <c r="V32" i="37"/>
  <c r="M32" i="37"/>
  <c r="L32" i="37"/>
  <c r="N32" i="37" s="1"/>
  <c r="J32" i="37"/>
  <c r="K32" i="37" s="1"/>
  <c r="I32" i="37"/>
  <c r="H32" i="37"/>
  <c r="V31" i="37"/>
  <c r="M31" i="37"/>
  <c r="L31" i="37"/>
  <c r="N31" i="37" s="1"/>
  <c r="J31" i="37"/>
  <c r="I31" i="37"/>
  <c r="K31" i="37" s="1"/>
  <c r="H31" i="37"/>
  <c r="V30" i="37"/>
  <c r="F30" i="37" s="1"/>
  <c r="H30" i="37" s="1"/>
  <c r="N30" i="37"/>
  <c r="M30" i="37"/>
  <c r="L30" i="37"/>
  <c r="J30" i="37"/>
  <c r="K30" i="37" s="1"/>
  <c r="I30" i="37"/>
  <c r="V29" i="37"/>
  <c r="N29" i="37"/>
  <c r="M29" i="37"/>
  <c r="L29" i="37"/>
  <c r="K29" i="37"/>
  <c r="J29" i="37"/>
  <c r="I29" i="37"/>
  <c r="H29" i="37"/>
  <c r="V28" i="37"/>
  <c r="M28" i="37"/>
  <c r="L28" i="37"/>
  <c r="N28" i="37" s="1"/>
  <c r="J28" i="37"/>
  <c r="I28" i="37"/>
  <c r="K28" i="37" s="1"/>
  <c r="H28" i="37"/>
  <c r="V27" i="37"/>
  <c r="M27" i="37"/>
  <c r="L27" i="37"/>
  <c r="N27" i="37" s="1"/>
  <c r="J27" i="37"/>
  <c r="I27" i="37"/>
  <c r="K27" i="37" s="1"/>
  <c r="H27" i="37"/>
  <c r="V26" i="37"/>
  <c r="N26" i="37"/>
  <c r="M26" i="37"/>
  <c r="L26" i="37"/>
  <c r="K26" i="37"/>
  <c r="J26" i="37"/>
  <c r="I26" i="37"/>
  <c r="F26" i="37"/>
  <c r="H26" i="37" s="1"/>
  <c r="V25" i="37"/>
  <c r="N25" i="37"/>
  <c r="M25" i="37"/>
  <c r="L25" i="37"/>
  <c r="K25" i="37"/>
  <c r="J25" i="37"/>
  <c r="I25" i="37"/>
  <c r="H25" i="37"/>
  <c r="V24" i="37"/>
  <c r="M24" i="37"/>
  <c r="L24" i="37"/>
  <c r="N24" i="37" s="1"/>
  <c r="J24" i="37"/>
  <c r="I24" i="37"/>
  <c r="K24" i="37" s="1"/>
  <c r="H24" i="37"/>
  <c r="V23" i="37"/>
  <c r="F23" i="37" s="1"/>
  <c r="H23" i="37" s="1"/>
  <c r="M23" i="37"/>
  <c r="L23" i="37"/>
  <c r="N23" i="37" s="1"/>
  <c r="J23" i="37"/>
  <c r="I23" i="37"/>
  <c r="K23" i="37" s="1"/>
  <c r="V22" i="37"/>
  <c r="F22" i="37" s="1"/>
  <c r="H22" i="37" s="1"/>
  <c r="M22" i="37"/>
  <c r="L22" i="37"/>
  <c r="N22" i="37" s="1"/>
  <c r="N43" i="37" s="1"/>
  <c r="J22" i="37"/>
  <c r="I22" i="37"/>
  <c r="K22" i="37" s="1"/>
  <c r="V21" i="37"/>
  <c r="V43" i="37" s="1"/>
  <c r="F43" i="37" s="1"/>
  <c r="M21" i="37"/>
  <c r="L21" i="37"/>
  <c r="N21" i="37" s="1"/>
  <c r="J21" i="37"/>
  <c r="I21" i="37"/>
  <c r="K21" i="37" s="1"/>
  <c r="H16" i="37"/>
  <c r="H15" i="37"/>
  <c r="H14" i="37"/>
  <c r="H13" i="37"/>
  <c r="H12" i="37"/>
  <c r="H11" i="37"/>
  <c r="H10" i="37"/>
  <c r="H17" i="37" s="1"/>
  <c r="K106" i="37" s="1"/>
  <c r="H101" i="34"/>
  <c r="H98" i="34"/>
  <c r="H97" i="34"/>
  <c r="H96" i="34"/>
  <c r="H95" i="34"/>
  <c r="H94" i="34"/>
  <c r="H93" i="34"/>
  <c r="H92" i="34"/>
  <c r="H91" i="34"/>
  <c r="H90" i="34"/>
  <c r="H89" i="34"/>
  <c r="H88" i="34"/>
  <c r="H87" i="34"/>
  <c r="H86" i="34"/>
  <c r="H85" i="34"/>
  <c r="H84" i="34"/>
  <c r="H83" i="34"/>
  <c r="H82" i="34"/>
  <c r="H81" i="34"/>
  <c r="H80" i="34"/>
  <c r="H79" i="34"/>
  <c r="H99" i="34" s="1"/>
  <c r="H75" i="34"/>
  <c r="H74" i="34"/>
  <c r="H70" i="34"/>
  <c r="H71" i="34" s="1"/>
  <c r="H66" i="34"/>
  <c r="H65" i="34"/>
  <c r="H64" i="34"/>
  <c r="M60" i="34"/>
  <c r="F60" i="34" s="1"/>
  <c r="H60" i="34" s="1"/>
  <c r="H61" i="34" s="1"/>
  <c r="M59" i="34"/>
  <c r="H59" i="34"/>
  <c r="H55" i="34"/>
  <c r="H54" i="34"/>
  <c r="H53" i="34"/>
  <c r="M52" i="34"/>
  <c r="F52" i="34"/>
  <c r="H52" i="34" s="1"/>
  <c r="M51" i="34"/>
  <c r="H51" i="34"/>
  <c r="M50" i="34"/>
  <c r="H50" i="34"/>
  <c r="M49" i="34"/>
  <c r="H49" i="34"/>
  <c r="V42" i="34"/>
  <c r="F42" i="34" s="1"/>
  <c r="H42" i="34" s="1"/>
  <c r="N42" i="34"/>
  <c r="L42" i="34"/>
  <c r="K42" i="34"/>
  <c r="I42" i="34"/>
  <c r="V41" i="34"/>
  <c r="F41" i="34" s="1"/>
  <c r="H41" i="34" s="1"/>
  <c r="N41" i="34"/>
  <c r="L41" i="34"/>
  <c r="K41" i="34"/>
  <c r="I41" i="34"/>
  <c r="V40" i="34"/>
  <c r="N40" i="34"/>
  <c r="L40" i="34"/>
  <c r="I40" i="34"/>
  <c r="K40" i="34" s="1"/>
  <c r="H40" i="34"/>
  <c r="F40" i="34"/>
  <c r="V39" i="34"/>
  <c r="F39" i="34" s="1"/>
  <c r="H39" i="34" s="1"/>
  <c r="N39" i="34"/>
  <c r="L39" i="34"/>
  <c r="I39" i="34"/>
  <c r="K39" i="34" s="1"/>
  <c r="M38" i="34"/>
  <c r="L38" i="34"/>
  <c r="N38" i="34" s="1"/>
  <c r="J38" i="34"/>
  <c r="K38" i="34" s="1"/>
  <c r="I38" i="34"/>
  <c r="H38" i="34"/>
  <c r="F38" i="34"/>
  <c r="V37" i="34"/>
  <c r="M37" i="34"/>
  <c r="N37" i="34" s="1"/>
  <c r="L37" i="34"/>
  <c r="J37" i="34"/>
  <c r="I37" i="34"/>
  <c r="K37" i="34" s="1"/>
  <c r="H37" i="34"/>
  <c r="V36" i="34"/>
  <c r="M36" i="34"/>
  <c r="N36" i="34" s="1"/>
  <c r="L36" i="34"/>
  <c r="K36" i="34"/>
  <c r="J36" i="34"/>
  <c r="I36" i="34"/>
  <c r="H36" i="34"/>
  <c r="V35" i="34"/>
  <c r="M35" i="34"/>
  <c r="L35" i="34"/>
  <c r="N35" i="34" s="1"/>
  <c r="J35" i="34"/>
  <c r="I35" i="34"/>
  <c r="K35" i="34" s="1"/>
  <c r="H35" i="34"/>
  <c r="V34" i="34"/>
  <c r="N34" i="34"/>
  <c r="M34" i="34"/>
  <c r="L34" i="34"/>
  <c r="J34" i="34"/>
  <c r="I34" i="34"/>
  <c r="K34" i="34" s="1"/>
  <c r="F34" i="34"/>
  <c r="H34" i="34" s="1"/>
  <c r="V33" i="34"/>
  <c r="N33" i="34"/>
  <c r="M33" i="34"/>
  <c r="L33" i="34"/>
  <c r="K33" i="34"/>
  <c r="J33" i="34"/>
  <c r="I33" i="34"/>
  <c r="H33" i="34"/>
  <c r="V32" i="34"/>
  <c r="M32" i="34"/>
  <c r="L32" i="34"/>
  <c r="N32" i="34" s="1"/>
  <c r="J32" i="34"/>
  <c r="K32" i="34" s="1"/>
  <c r="I32" i="34"/>
  <c r="H32" i="34"/>
  <c r="V31" i="34"/>
  <c r="M31" i="34"/>
  <c r="N31" i="34" s="1"/>
  <c r="L31" i="34"/>
  <c r="J31" i="34"/>
  <c r="I31" i="34"/>
  <c r="K31" i="34" s="1"/>
  <c r="H31" i="34"/>
  <c r="V30" i="34"/>
  <c r="F30" i="34" s="1"/>
  <c r="H30" i="34" s="1"/>
  <c r="N30" i="34"/>
  <c r="M30" i="34"/>
  <c r="L30" i="34"/>
  <c r="K30" i="34"/>
  <c r="J30" i="34"/>
  <c r="I30" i="34"/>
  <c r="V29" i="34"/>
  <c r="M29" i="34"/>
  <c r="L29" i="34"/>
  <c r="N29" i="34" s="1"/>
  <c r="K29" i="34"/>
  <c r="J29" i="34"/>
  <c r="I29" i="34"/>
  <c r="H29" i="34"/>
  <c r="V28" i="34"/>
  <c r="M28" i="34"/>
  <c r="L28" i="34"/>
  <c r="N28" i="34" s="1"/>
  <c r="J28" i="34"/>
  <c r="I28" i="34"/>
  <c r="K28" i="34" s="1"/>
  <c r="H28" i="34"/>
  <c r="V27" i="34"/>
  <c r="M27" i="34"/>
  <c r="L27" i="34"/>
  <c r="N27" i="34" s="1"/>
  <c r="J27" i="34"/>
  <c r="K27" i="34" s="1"/>
  <c r="I27" i="34"/>
  <c r="H27" i="34"/>
  <c r="V26" i="34"/>
  <c r="F26" i="34" s="1"/>
  <c r="H26" i="34" s="1"/>
  <c r="M26" i="34"/>
  <c r="L26" i="34"/>
  <c r="N26" i="34" s="1"/>
  <c r="K26" i="34"/>
  <c r="J26" i="34"/>
  <c r="I26" i="34"/>
  <c r="V25" i="34"/>
  <c r="M25" i="34"/>
  <c r="L25" i="34"/>
  <c r="N25" i="34" s="1"/>
  <c r="J25" i="34"/>
  <c r="I25" i="34"/>
  <c r="K25" i="34" s="1"/>
  <c r="H25" i="34"/>
  <c r="V24" i="34"/>
  <c r="M24" i="34"/>
  <c r="L24" i="34"/>
  <c r="N24" i="34" s="1"/>
  <c r="J24" i="34"/>
  <c r="I24" i="34"/>
  <c r="K24" i="34" s="1"/>
  <c r="H24" i="34"/>
  <c r="V23" i="34"/>
  <c r="F23" i="34" s="1"/>
  <c r="H23" i="34" s="1"/>
  <c r="M23" i="34"/>
  <c r="L23" i="34"/>
  <c r="N23" i="34" s="1"/>
  <c r="J23" i="34"/>
  <c r="I23" i="34"/>
  <c r="K23" i="34" s="1"/>
  <c r="V22" i="34"/>
  <c r="M22" i="34"/>
  <c r="L22" i="34"/>
  <c r="N22" i="34" s="1"/>
  <c r="J22" i="34"/>
  <c r="I22" i="34"/>
  <c r="K22" i="34" s="1"/>
  <c r="F22" i="34"/>
  <c r="H22" i="34" s="1"/>
  <c r="V21" i="34"/>
  <c r="V43" i="34" s="1"/>
  <c r="F43" i="34" s="1"/>
  <c r="N21" i="34"/>
  <c r="M21" i="34"/>
  <c r="L21" i="34"/>
  <c r="J21" i="34"/>
  <c r="I21" i="34"/>
  <c r="K21" i="34" s="1"/>
  <c r="F21" i="34"/>
  <c r="H21" i="34" s="1"/>
  <c r="H17" i="34"/>
  <c r="K106" i="34" s="1"/>
  <c r="H16" i="34"/>
  <c r="H15" i="34"/>
  <c r="H14" i="34"/>
  <c r="H12" i="34"/>
  <c r="H11" i="34"/>
  <c r="H10" i="34"/>
  <c r="H9" i="34"/>
  <c r="H101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99" i="31" s="1"/>
  <c r="H74" i="31"/>
  <c r="H75" i="31" s="1"/>
  <c r="H71" i="31"/>
  <c r="H70" i="31"/>
  <c r="H66" i="31"/>
  <c r="H65" i="31"/>
  <c r="H64" i="31"/>
  <c r="M60" i="31"/>
  <c r="F60" i="31"/>
  <c r="H60" i="31" s="1"/>
  <c r="H61" i="31" s="1"/>
  <c r="M59" i="31"/>
  <c r="H59" i="31"/>
  <c r="H55" i="31"/>
  <c r="H54" i="31"/>
  <c r="H53" i="31"/>
  <c r="M52" i="31"/>
  <c r="F52" i="31"/>
  <c r="H52" i="31" s="1"/>
  <c r="M51" i="31"/>
  <c r="H51" i="31"/>
  <c r="M50" i="31"/>
  <c r="H50" i="31"/>
  <c r="M49" i="31"/>
  <c r="H49" i="31"/>
  <c r="V42" i="31"/>
  <c r="F42" i="31" s="1"/>
  <c r="H42" i="31" s="1"/>
  <c r="L42" i="31"/>
  <c r="N42" i="31" s="1"/>
  <c r="I42" i="31"/>
  <c r="K42" i="31" s="1"/>
  <c r="V41" i="31"/>
  <c r="L41" i="31"/>
  <c r="N41" i="31" s="1"/>
  <c r="I41" i="31"/>
  <c r="K41" i="31" s="1"/>
  <c r="F41" i="31"/>
  <c r="H41" i="31" s="1"/>
  <c r="V40" i="31"/>
  <c r="F40" i="31" s="1"/>
  <c r="H40" i="31" s="1"/>
  <c r="L40" i="31"/>
  <c r="N40" i="31" s="1"/>
  <c r="K40" i="31"/>
  <c r="I40" i="31"/>
  <c r="V39" i="31"/>
  <c r="F39" i="31" s="1"/>
  <c r="H39" i="31" s="1"/>
  <c r="L39" i="31"/>
  <c r="N39" i="31" s="1"/>
  <c r="I39" i="31"/>
  <c r="K39" i="31" s="1"/>
  <c r="M38" i="31"/>
  <c r="N38" i="31" s="1"/>
  <c r="L38" i="31"/>
  <c r="K38" i="31"/>
  <c r="J38" i="31"/>
  <c r="I38" i="31"/>
  <c r="F38" i="31"/>
  <c r="H38" i="31" s="1"/>
  <c r="V37" i="31"/>
  <c r="M37" i="31"/>
  <c r="N37" i="31" s="1"/>
  <c r="L37" i="31"/>
  <c r="J37" i="31"/>
  <c r="K37" i="31" s="1"/>
  <c r="I37" i="31"/>
  <c r="H37" i="31"/>
  <c r="V36" i="31"/>
  <c r="M36" i="31"/>
  <c r="L36" i="31"/>
  <c r="N36" i="31" s="1"/>
  <c r="J36" i="31"/>
  <c r="I36" i="31"/>
  <c r="K36" i="31" s="1"/>
  <c r="H36" i="31"/>
  <c r="V35" i="31"/>
  <c r="N35" i="31"/>
  <c r="M35" i="31"/>
  <c r="L35" i="31"/>
  <c r="J35" i="31"/>
  <c r="I35" i="31"/>
  <c r="K35" i="31" s="1"/>
  <c r="H35" i="31"/>
  <c r="V34" i="31"/>
  <c r="F34" i="31" s="1"/>
  <c r="H34" i="31" s="1"/>
  <c r="M34" i="31"/>
  <c r="N34" i="31" s="1"/>
  <c r="L34" i="31"/>
  <c r="J34" i="31"/>
  <c r="K34" i="31" s="1"/>
  <c r="I34" i="31"/>
  <c r="V33" i="31"/>
  <c r="M33" i="31"/>
  <c r="L33" i="31"/>
  <c r="N33" i="31" s="1"/>
  <c r="J33" i="31"/>
  <c r="K33" i="31" s="1"/>
  <c r="I33" i="31"/>
  <c r="H33" i="31"/>
  <c r="V32" i="31"/>
  <c r="M32" i="31"/>
  <c r="N32" i="31" s="1"/>
  <c r="L32" i="31"/>
  <c r="J32" i="31"/>
  <c r="I32" i="31"/>
  <c r="K32" i="31" s="1"/>
  <c r="H32" i="31"/>
  <c r="V31" i="31"/>
  <c r="N31" i="31"/>
  <c r="M31" i="31"/>
  <c r="L31" i="31"/>
  <c r="K31" i="31"/>
  <c r="J31" i="31"/>
  <c r="I31" i="31"/>
  <c r="H31" i="31"/>
  <c r="V30" i="31"/>
  <c r="M30" i="31"/>
  <c r="L30" i="31"/>
  <c r="N30" i="31" s="1"/>
  <c r="J30" i="31"/>
  <c r="K30" i="31" s="1"/>
  <c r="I30" i="31"/>
  <c r="F30" i="31"/>
  <c r="H30" i="31" s="1"/>
  <c r="V29" i="31"/>
  <c r="N29" i="31"/>
  <c r="M29" i="31"/>
  <c r="L29" i="31"/>
  <c r="J29" i="31"/>
  <c r="I29" i="31"/>
  <c r="K29" i="31" s="1"/>
  <c r="H29" i="31"/>
  <c r="V28" i="31"/>
  <c r="M28" i="31"/>
  <c r="L28" i="31"/>
  <c r="N28" i="31" s="1"/>
  <c r="J28" i="31"/>
  <c r="K28" i="31" s="1"/>
  <c r="I28" i="31"/>
  <c r="H28" i="31"/>
  <c r="V27" i="31"/>
  <c r="M27" i="31"/>
  <c r="L27" i="31"/>
  <c r="N27" i="31" s="1"/>
  <c r="K27" i="31"/>
  <c r="J27" i="31"/>
  <c r="I27" i="31"/>
  <c r="H27" i="31"/>
  <c r="V26" i="31"/>
  <c r="N26" i="31"/>
  <c r="M26" i="31"/>
  <c r="L26" i="31"/>
  <c r="J26" i="31"/>
  <c r="I26" i="31"/>
  <c r="K26" i="31" s="1"/>
  <c r="F26" i="31"/>
  <c r="H26" i="31" s="1"/>
  <c r="V25" i="31"/>
  <c r="M25" i="31"/>
  <c r="N25" i="31" s="1"/>
  <c r="L25" i="31"/>
  <c r="K25" i="31"/>
  <c r="J25" i="31"/>
  <c r="I25" i="31"/>
  <c r="H25" i="31"/>
  <c r="V24" i="31"/>
  <c r="M24" i="31"/>
  <c r="L24" i="31"/>
  <c r="N24" i="31" s="1"/>
  <c r="J24" i="31"/>
  <c r="I24" i="31"/>
  <c r="K24" i="31" s="1"/>
  <c r="H24" i="31"/>
  <c r="V23" i="31"/>
  <c r="F23" i="31" s="1"/>
  <c r="H23" i="31" s="1"/>
  <c r="M23" i="31"/>
  <c r="L23" i="31"/>
  <c r="N23" i="31" s="1"/>
  <c r="J23" i="31"/>
  <c r="I23" i="31"/>
  <c r="K23" i="31" s="1"/>
  <c r="V22" i="31"/>
  <c r="N22" i="31"/>
  <c r="M22" i="31"/>
  <c r="L22" i="31"/>
  <c r="J22" i="31"/>
  <c r="I22" i="31"/>
  <c r="K22" i="31" s="1"/>
  <c r="F22" i="31"/>
  <c r="H22" i="31" s="1"/>
  <c r="V21" i="31"/>
  <c r="V43" i="31" s="1"/>
  <c r="F43" i="31" s="1"/>
  <c r="N21" i="31"/>
  <c r="M21" i="31"/>
  <c r="L21" i="31"/>
  <c r="K21" i="31"/>
  <c r="J21" i="31"/>
  <c r="I21" i="31"/>
  <c r="H16" i="31"/>
  <c r="H15" i="31"/>
  <c r="H14" i="31"/>
  <c r="H13" i="31"/>
  <c r="H12" i="31"/>
  <c r="H10" i="31"/>
  <c r="H17" i="31" s="1"/>
  <c r="K106" i="31" s="1"/>
  <c r="H9" i="31"/>
  <c r="H99" i="9"/>
  <c r="H17" i="41" l="1"/>
  <c r="K106" i="41" s="1"/>
  <c r="N27" i="39"/>
  <c r="K36" i="39"/>
  <c r="N33" i="39"/>
  <c r="N29" i="39"/>
  <c r="K38" i="39"/>
  <c r="K30" i="39"/>
  <c r="N34" i="39"/>
  <c r="N38" i="39"/>
  <c r="N35" i="39"/>
  <c r="H61" i="39"/>
  <c r="H17" i="39"/>
  <c r="K107" i="39" s="1"/>
  <c r="N37" i="39"/>
  <c r="K24" i="39"/>
  <c r="K32" i="39"/>
  <c r="N32" i="39"/>
  <c r="N24" i="39"/>
  <c r="N30" i="39"/>
  <c r="K25" i="39"/>
  <c r="K21" i="39"/>
  <c r="K23" i="39"/>
  <c r="N31" i="39"/>
  <c r="K35" i="39"/>
  <c r="V43" i="39"/>
  <c r="F43" i="39" s="1"/>
  <c r="K31" i="39"/>
  <c r="K33" i="39"/>
  <c r="H66" i="39"/>
  <c r="N22" i="39"/>
  <c r="K28" i="39"/>
  <c r="K37" i="39"/>
  <c r="F21" i="39"/>
  <c r="H21" i="39" s="1"/>
  <c r="H43" i="39" s="1"/>
  <c r="N28" i="39"/>
  <c r="N23" i="39"/>
  <c r="N21" i="39"/>
  <c r="K34" i="39"/>
  <c r="N25" i="39"/>
  <c r="H100" i="39"/>
  <c r="H56" i="41"/>
  <c r="H43" i="41"/>
  <c r="K43" i="41"/>
  <c r="H56" i="39"/>
  <c r="K43" i="37"/>
  <c r="H56" i="37"/>
  <c r="F21" i="37"/>
  <c r="H21" i="37" s="1"/>
  <c r="H43" i="37" s="1"/>
  <c r="H44" i="37" s="1"/>
  <c r="K43" i="34"/>
  <c r="H43" i="34"/>
  <c r="H56" i="34"/>
  <c r="N43" i="34"/>
  <c r="H56" i="31"/>
  <c r="K43" i="31"/>
  <c r="N43" i="31"/>
  <c r="F21" i="31"/>
  <c r="H21" i="31" s="1"/>
  <c r="H43" i="31" s="1"/>
  <c r="H44" i="31" s="1"/>
  <c r="N43" i="39" l="1"/>
  <c r="K43" i="39"/>
  <c r="H44" i="39" s="1"/>
  <c r="H44" i="41"/>
  <c r="H45" i="39"/>
  <c r="K108" i="39"/>
  <c r="H76" i="39"/>
  <c r="H45" i="37"/>
  <c r="K107" i="37"/>
  <c r="H76" i="37"/>
  <c r="H44" i="34"/>
  <c r="H45" i="31"/>
  <c r="H76" i="31" s="1"/>
  <c r="K107" i="31"/>
  <c r="H45" i="41" l="1"/>
  <c r="H76" i="41" s="1"/>
  <c r="K107" i="41"/>
  <c r="H103" i="39"/>
  <c r="K109" i="39"/>
  <c r="K110" i="39" s="1"/>
  <c r="H102" i="37"/>
  <c r="K108" i="37"/>
  <c r="K109" i="37" s="1"/>
  <c r="H45" i="34"/>
  <c r="H76" i="34" s="1"/>
  <c r="K107" i="34"/>
  <c r="H102" i="31"/>
  <c r="K108" i="31"/>
  <c r="K109" i="31" s="1"/>
  <c r="H102" i="41" l="1"/>
  <c r="K108" i="41"/>
  <c r="K109" i="41" s="1"/>
  <c r="H104" i="39"/>
  <c r="H103" i="37"/>
  <c r="H102" i="34"/>
  <c r="K108" i="34"/>
  <c r="K109" i="34" s="1"/>
  <c r="H103" i="31"/>
  <c r="H104" i="31" s="1"/>
  <c r="H103" i="41" l="1"/>
  <c r="H105" i="39"/>
  <c r="H104" i="37"/>
  <c r="H103" i="34"/>
  <c r="H106" i="31"/>
  <c r="I106" i="31" s="1"/>
  <c r="H104" i="41" l="1"/>
  <c r="H107" i="39"/>
  <c r="I107" i="39" s="1"/>
  <c r="H106" i="37"/>
  <c r="I106" i="37" s="1"/>
  <c r="H104" i="34"/>
  <c r="H107" i="31"/>
  <c r="H106" i="41" l="1"/>
  <c r="I106" i="41" s="1"/>
  <c r="H108" i="39"/>
  <c r="H107" i="37"/>
  <c r="H106" i="34"/>
  <c r="I106" i="34" s="1"/>
  <c r="H108" i="31"/>
  <c r="H109" i="31" s="1"/>
  <c r="H107" i="41" l="1"/>
  <c r="H109" i="39"/>
  <c r="H110" i="39" s="1"/>
  <c r="H108" i="37"/>
  <c r="H109" i="37" s="1"/>
  <c r="H107" i="34"/>
  <c r="L109" i="31"/>
  <c r="M109" i="31" s="1"/>
  <c r="J110" i="31"/>
  <c r="H108" i="41" l="1"/>
  <c r="H109" i="41" s="1"/>
  <c r="J111" i="39"/>
  <c r="L110" i="39"/>
  <c r="M110" i="39" s="1"/>
  <c r="J110" i="37"/>
  <c r="L109" i="37"/>
  <c r="M109" i="37" s="1"/>
  <c r="H108" i="34"/>
  <c r="H109" i="34" s="1"/>
  <c r="I103" i="31"/>
  <c r="J103" i="31"/>
  <c r="J110" i="41" l="1"/>
  <c r="L109" i="41"/>
  <c r="M109" i="41" s="1"/>
  <c r="I104" i="39"/>
  <c r="J104" i="39"/>
  <c r="I103" i="37"/>
  <c r="J103" i="37"/>
  <c r="J110" i="34"/>
  <c r="L109" i="34"/>
  <c r="M109" i="34" s="1"/>
  <c r="I103" i="41" l="1"/>
  <c r="J103" i="41"/>
  <c r="I103" i="34"/>
  <c r="J103" i="34"/>
  <c r="F57" i="2" l="1"/>
  <c r="F55" i="2"/>
  <c r="D114" i="30"/>
  <c r="H101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5" i="30"/>
  <c r="H74" i="30"/>
  <c r="H70" i="30"/>
  <c r="H71" i="30" s="1"/>
  <c r="H65" i="30"/>
  <c r="H66" i="30" s="1"/>
  <c r="H64" i="30"/>
  <c r="M60" i="30"/>
  <c r="F60" i="30" s="1"/>
  <c r="H60" i="30" s="1"/>
  <c r="M59" i="30"/>
  <c r="H59" i="30"/>
  <c r="H55" i="30"/>
  <c r="H54" i="30"/>
  <c r="H53" i="30"/>
  <c r="M52" i="30"/>
  <c r="H52" i="30"/>
  <c r="M51" i="30"/>
  <c r="H51" i="30"/>
  <c r="M50" i="30"/>
  <c r="H50" i="30"/>
  <c r="M49" i="30"/>
  <c r="H49" i="30"/>
  <c r="V42" i="30"/>
  <c r="F42" i="30" s="1"/>
  <c r="H42" i="30" s="1"/>
  <c r="L42" i="30"/>
  <c r="N42" i="30" s="1"/>
  <c r="K42" i="30"/>
  <c r="I42" i="30"/>
  <c r="V41" i="30"/>
  <c r="L41" i="30"/>
  <c r="N41" i="30" s="1"/>
  <c r="I41" i="30"/>
  <c r="K41" i="30" s="1"/>
  <c r="H41" i="30"/>
  <c r="V40" i="30"/>
  <c r="L40" i="30"/>
  <c r="N40" i="30" s="1"/>
  <c r="I40" i="30"/>
  <c r="K40" i="30" s="1"/>
  <c r="H40" i="30"/>
  <c r="Z39" i="30"/>
  <c r="V39" i="30"/>
  <c r="L39" i="30"/>
  <c r="N39" i="30" s="1"/>
  <c r="I39" i="30"/>
  <c r="K39" i="30" s="1"/>
  <c r="H39" i="30"/>
  <c r="M38" i="30"/>
  <c r="L38" i="30"/>
  <c r="J38" i="30"/>
  <c r="I38" i="30"/>
  <c r="K38" i="30" s="1"/>
  <c r="H38" i="30"/>
  <c r="V37" i="30"/>
  <c r="M37" i="30"/>
  <c r="L37" i="30"/>
  <c r="J37" i="30"/>
  <c r="I37" i="30"/>
  <c r="K37" i="30" s="1"/>
  <c r="H37" i="30"/>
  <c r="V36" i="30"/>
  <c r="M36" i="30"/>
  <c r="L36" i="30"/>
  <c r="J36" i="30"/>
  <c r="I36" i="30"/>
  <c r="K36" i="30" s="1"/>
  <c r="H36" i="30"/>
  <c r="V35" i="30"/>
  <c r="M35" i="30"/>
  <c r="N35" i="30" s="1"/>
  <c r="L35" i="30"/>
  <c r="J35" i="30"/>
  <c r="I35" i="30"/>
  <c r="K35" i="30" s="1"/>
  <c r="H35" i="30"/>
  <c r="V34" i="30"/>
  <c r="M34" i="30"/>
  <c r="L34" i="30"/>
  <c r="J34" i="30"/>
  <c r="I34" i="30"/>
  <c r="K34" i="30" s="1"/>
  <c r="H34" i="30"/>
  <c r="V33" i="30"/>
  <c r="M33" i="30"/>
  <c r="N33" i="30" s="1"/>
  <c r="L33" i="30"/>
  <c r="J33" i="30"/>
  <c r="K33" i="30"/>
  <c r="H33" i="30"/>
  <c r="V32" i="30"/>
  <c r="F32" i="30" s="1"/>
  <c r="H32" i="30" s="1"/>
  <c r="M32" i="30"/>
  <c r="L32" i="30"/>
  <c r="J32" i="30"/>
  <c r="I32" i="30"/>
  <c r="K32" i="30" s="1"/>
  <c r="V31" i="30"/>
  <c r="M31" i="30"/>
  <c r="L31" i="30"/>
  <c r="N31" i="30" s="1"/>
  <c r="J31" i="30"/>
  <c r="I31" i="30"/>
  <c r="K31" i="30" s="1"/>
  <c r="H31" i="30"/>
  <c r="V30" i="30"/>
  <c r="F30" i="30" s="1"/>
  <c r="H30" i="30" s="1"/>
  <c r="M30" i="30"/>
  <c r="L30" i="30"/>
  <c r="N30" i="30" s="1"/>
  <c r="J30" i="30"/>
  <c r="I30" i="30"/>
  <c r="V29" i="30"/>
  <c r="M29" i="30"/>
  <c r="L29" i="30"/>
  <c r="J29" i="30"/>
  <c r="K29" i="30" s="1"/>
  <c r="I29" i="30"/>
  <c r="H29" i="30"/>
  <c r="V28" i="30"/>
  <c r="M28" i="30"/>
  <c r="L28" i="30"/>
  <c r="J28" i="30"/>
  <c r="K28" i="30" s="1"/>
  <c r="I28" i="30"/>
  <c r="H28" i="30"/>
  <c r="V27" i="30"/>
  <c r="M27" i="30"/>
  <c r="L27" i="30"/>
  <c r="J27" i="30"/>
  <c r="K27" i="30" s="1"/>
  <c r="I27" i="30"/>
  <c r="H27" i="30"/>
  <c r="V26" i="30"/>
  <c r="F26" i="30" s="1"/>
  <c r="H26" i="30" s="1"/>
  <c r="M26" i="30"/>
  <c r="L26" i="30"/>
  <c r="J26" i="30"/>
  <c r="K26" i="30" s="1"/>
  <c r="I26" i="30"/>
  <c r="V25" i="30"/>
  <c r="F25" i="30" s="1"/>
  <c r="H25" i="30" s="1"/>
  <c r="M25" i="30"/>
  <c r="L25" i="30"/>
  <c r="N25" i="30" s="1"/>
  <c r="K25" i="30"/>
  <c r="J25" i="30"/>
  <c r="V24" i="30"/>
  <c r="M24" i="30"/>
  <c r="L24" i="30"/>
  <c r="N24" i="30" s="1"/>
  <c r="J24" i="30"/>
  <c r="K24" i="30" s="1"/>
  <c r="H24" i="30"/>
  <c r="V23" i="30"/>
  <c r="M23" i="30"/>
  <c r="L23" i="30"/>
  <c r="N23" i="30" s="1"/>
  <c r="J23" i="30"/>
  <c r="I23" i="30"/>
  <c r="K23" i="30" s="1"/>
  <c r="F23" i="30"/>
  <c r="H23" i="30" s="1"/>
  <c r="V22" i="30"/>
  <c r="F22" i="30" s="1"/>
  <c r="H22" i="30" s="1"/>
  <c r="M22" i="30"/>
  <c r="L22" i="30"/>
  <c r="J22" i="30"/>
  <c r="K22" i="30" s="1"/>
  <c r="I22" i="30"/>
  <c r="V21" i="30"/>
  <c r="M21" i="30"/>
  <c r="L21" i="30"/>
  <c r="N21" i="30" s="1"/>
  <c r="J21" i="30"/>
  <c r="I21" i="30"/>
  <c r="K21" i="30" s="1"/>
  <c r="F21" i="30"/>
  <c r="H21" i="30" s="1"/>
  <c r="H17" i="30"/>
  <c r="K106" i="30" s="1"/>
  <c r="I16" i="30"/>
  <c r="D114" i="29"/>
  <c r="H101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99" i="29" s="1"/>
  <c r="H79" i="29"/>
  <c r="H74" i="29"/>
  <c r="H75" i="29" s="1"/>
  <c r="H70" i="29"/>
  <c r="H71" i="29" s="1"/>
  <c r="H65" i="29"/>
  <c r="H64" i="29"/>
  <c r="M60" i="29"/>
  <c r="F60" i="29" s="1"/>
  <c r="H60" i="29" s="1"/>
  <c r="M59" i="29"/>
  <c r="H59" i="29"/>
  <c r="H55" i="29"/>
  <c r="H54" i="29"/>
  <c r="H53" i="29"/>
  <c r="M52" i="29"/>
  <c r="F52" i="29" s="1"/>
  <c r="H52" i="29" s="1"/>
  <c r="M51" i="29"/>
  <c r="H51" i="29"/>
  <c r="M50" i="29"/>
  <c r="H50" i="29"/>
  <c r="M49" i="29"/>
  <c r="H49" i="29"/>
  <c r="V42" i="29"/>
  <c r="L42" i="29"/>
  <c r="N42" i="29" s="1"/>
  <c r="I42" i="29"/>
  <c r="K42" i="29" s="1"/>
  <c r="F42" i="29"/>
  <c r="H42" i="29" s="1"/>
  <c r="V41" i="29"/>
  <c r="L41" i="29"/>
  <c r="N41" i="29" s="1"/>
  <c r="I41" i="29"/>
  <c r="K41" i="29" s="1"/>
  <c r="F41" i="29"/>
  <c r="H41" i="29" s="1"/>
  <c r="V40" i="29"/>
  <c r="F40" i="29" s="1"/>
  <c r="L40" i="29"/>
  <c r="N40" i="29" s="1"/>
  <c r="I40" i="29"/>
  <c r="K40" i="29" s="1"/>
  <c r="H40" i="29"/>
  <c r="Z39" i="29"/>
  <c r="V39" i="29"/>
  <c r="F39" i="29" s="1"/>
  <c r="H39" i="29" s="1"/>
  <c r="L39" i="29"/>
  <c r="N39" i="29" s="1"/>
  <c r="I39" i="29"/>
  <c r="K39" i="29" s="1"/>
  <c r="M38" i="29"/>
  <c r="N38" i="29" s="1"/>
  <c r="L38" i="29"/>
  <c r="J38" i="29"/>
  <c r="I38" i="29"/>
  <c r="F38" i="29"/>
  <c r="H38" i="29" s="1"/>
  <c r="V37" i="29"/>
  <c r="M37" i="29"/>
  <c r="L37" i="29"/>
  <c r="N37" i="29" s="1"/>
  <c r="J37" i="29"/>
  <c r="I37" i="29"/>
  <c r="H37" i="29"/>
  <c r="V36" i="29"/>
  <c r="N36" i="29"/>
  <c r="M36" i="29"/>
  <c r="L36" i="29"/>
  <c r="J36" i="29"/>
  <c r="I36" i="29"/>
  <c r="H36" i="29"/>
  <c r="V35" i="29"/>
  <c r="N35" i="29"/>
  <c r="M35" i="29"/>
  <c r="L35" i="29"/>
  <c r="J35" i="29"/>
  <c r="I35" i="29"/>
  <c r="H35" i="29"/>
  <c r="V34" i="29"/>
  <c r="F34" i="29" s="1"/>
  <c r="H34" i="29" s="1"/>
  <c r="M34" i="29"/>
  <c r="L34" i="29"/>
  <c r="N34" i="29" s="1"/>
  <c r="J34" i="29"/>
  <c r="I34" i="29"/>
  <c r="V33" i="29"/>
  <c r="M33" i="29"/>
  <c r="L33" i="29"/>
  <c r="J33" i="29"/>
  <c r="I33" i="29"/>
  <c r="K33" i="29" s="1"/>
  <c r="H33" i="29"/>
  <c r="V32" i="29"/>
  <c r="M32" i="29"/>
  <c r="L32" i="29"/>
  <c r="J32" i="29"/>
  <c r="I32" i="29"/>
  <c r="K32" i="29" s="1"/>
  <c r="H32" i="29"/>
  <c r="V31" i="29"/>
  <c r="M31" i="29"/>
  <c r="L31" i="29"/>
  <c r="N31" i="29" s="1"/>
  <c r="K31" i="29"/>
  <c r="J31" i="29"/>
  <c r="I31" i="29"/>
  <c r="H31" i="29"/>
  <c r="V30" i="29"/>
  <c r="M30" i="29"/>
  <c r="L30" i="29"/>
  <c r="K30" i="29"/>
  <c r="J30" i="29"/>
  <c r="I30" i="29"/>
  <c r="F30" i="29"/>
  <c r="H30" i="29" s="1"/>
  <c r="V29" i="29"/>
  <c r="M29" i="29"/>
  <c r="L29" i="29"/>
  <c r="N29" i="29" s="1"/>
  <c r="J29" i="29"/>
  <c r="I29" i="29"/>
  <c r="H29" i="29"/>
  <c r="V28" i="29"/>
  <c r="M28" i="29"/>
  <c r="N28" i="29" s="1"/>
  <c r="L28" i="29"/>
  <c r="J28" i="29"/>
  <c r="I28" i="29"/>
  <c r="H28" i="29"/>
  <c r="V27" i="29"/>
  <c r="M27" i="29"/>
  <c r="L27" i="29"/>
  <c r="J27" i="29"/>
  <c r="K27" i="29" s="1"/>
  <c r="I27" i="29"/>
  <c r="H27" i="29"/>
  <c r="V26" i="29"/>
  <c r="N26" i="29"/>
  <c r="M26" i="29"/>
  <c r="L26" i="29"/>
  <c r="J26" i="29"/>
  <c r="I26" i="29"/>
  <c r="F26" i="29"/>
  <c r="H26" i="29" s="1"/>
  <c r="V25" i="29"/>
  <c r="H25" i="29" s="1"/>
  <c r="M25" i="29"/>
  <c r="L25" i="29"/>
  <c r="N25" i="29" s="1"/>
  <c r="J25" i="29"/>
  <c r="I25" i="29"/>
  <c r="K25" i="29" s="1"/>
  <c r="V24" i="29"/>
  <c r="M24" i="29"/>
  <c r="L24" i="29"/>
  <c r="N24" i="29" s="1"/>
  <c r="J24" i="29"/>
  <c r="I24" i="29"/>
  <c r="K24" i="29" s="1"/>
  <c r="H24" i="29"/>
  <c r="V23" i="29"/>
  <c r="F23" i="29" s="1"/>
  <c r="H23" i="29" s="1"/>
  <c r="M23" i="29"/>
  <c r="L23" i="29"/>
  <c r="J23" i="29"/>
  <c r="I23" i="29"/>
  <c r="V22" i="29"/>
  <c r="F22" i="29" s="1"/>
  <c r="H22" i="29" s="1"/>
  <c r="M22" i="29"/>
  <c r="N22" i="29" s="1"/>
  <c r="L22" i="29"/>
  <c r="J22" i="29"/>
  <c r="I22" i="29"/>
  <c r="K22" i="29" s="1"/>
  <c r="V21" i="29"/>
  <c r="M21" i="29"/>
  <c r="L21" i="29"/>
  <c r="N21" i="29" s="1"/>
  <c r="J21" i="29"/>
  <c r="I21" i="29"/>
  <c r="F21" i="29"/>
  <c r="H21" i="29" s="1"/>
  <c r="H16" i="29"/>
  <c r="H15" i="29"/>
  <c r="H14" i="29"/>
  <c r="H13" i="29"/>
  <c r="H12" i="29"/>
  <c r="D114" i="28"/>
  <c r="H101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4" i="28"/>
  <c r="H75" i="28" s="1"/>
  <c r="H70" i="28"/>
  <c r="H71" i="28" s="1"/>
  <c r="H65" i="28"/>
  <c r="H64" i="28"/>
  <c r="M60" i="28"/>
  <c r="F60" i="28" s="1"/>
  <c r="H60" i="28" s="1"/>
  <c r="M59" i="28"/>
  <c r="H59" i="28"/>
  <c r="H55" i="28"/>
  <c r="H54" i="28"/>
  <c r="H53" i="28"/>
  <c r="M52" i="28"/>
  <c r="H52" i="28"/>
  <c r="M51" i="28"/>
  <c r="H51" i="28"/>
  <c r="M50" i="28"/>
  <c r="H50" i="28"/>
  <c r="M49" i="28"/>
  <c r="H49" i="28"/>
  <c r="V42" i="28"/>
  <c r="F42" i="28" s="1"/>
  <c r="H42" i="28" s="1"/>
  <c r="L42" i="28"/>
  <c r="N42" i="28" s="1"/>
  <c r="I42" i="28"/>
  <c r="K42" i="28" s="1"/>
  <c r="V41" i="28"/>
  <c r="L41" i="28"/>
  <c r="N41" i="28" s="1"/>
  <c r="K41" i="28"/>
  <c r="I41" i="28"/>
  <c r="H41" i="28"/>
  <c r="V40" i="28"/>
  <c r="L40" i="28"/>
  <c r="N40" i="28" s="1"/>
  <c r="I40" i="28"/>
  <c r="K40" i="28" s="1"/>
  <c r="H40" i="28"/>
  <c r="Z39" i="28"/>
  <c r="V39" i="28"/>
  <c r="N39" i="28"/>
  <c r="L39" i="28"/>
  <c r="I39" i="28"/>
  <c r="K39" i="28" s="1"/>
  <c r="H39" i="28"/>
  <c r="M38" i="28"/>
  <c r="L38" i="28"/>
  <c r="N38" i="28" s="1"/>
  <c r="J38" i="28"/>
  <c r="I38" i="28"/>
  <c r="H38" i="28"/>
  <c r="V37" i="28"/>
  <c r="M37" i="28"/>
  <c r="N37" i="28" s="1"/>
  <c r="L37" i="28"/>
  <c r="J37" i="28"/>
  <c r="I37" i="28"/>
  <c r="K37" i="28" s="1"/>
  <c r="H37" i="28"/>
  <c r="V36" i="28"/>
  <c r="M36" i="28"/>
  <c r="L36" i="28"/>
  <c r="N36" i="28" s="1"/>
  <c r="J36" i="28"/>
  <c r="I36" i="28"/>
  <c r="K36" i="28" s="1"/>
  <c r="H36" i="28"/>
  <c r="V35" i="28"/>
  <c r="M35" i="28"/>
  <c r="L35" i="28"/>
  <c r="N35" i="28" s="1"/>
  <c r="J35" i="28"/>
  <c r="I35" i="28"/>
  <c r="K35" i="28" s="1"/>
  <c r="H35" i="28"/>
  <c r="V34" i="28"/>
  <c r="M34" i="28"/>
  <c r="L34" i="28"/>
  <c r="N34" i="28" s="1"/>
  <c r="J34" i="28"/>
  <c r="I34" i="28"/>
  <c r="K34" i="28" s="1"/>
  <c r="H34" i="28"/>
  <c r="V33" i="28"/>
  <c r="M33" i="28"/>
  <c r="L33" i="28"/>
  <c r="N33" i="28" s="1"/>
  <c r="J33" i="28"/>
  <c r="K33" i="28"/>
  <c r="H33" i="28"/>
  <c r="V32" i="28"/>
  <c r="N32" i="28"/>
  <c r="M32" i="28"/>
  <c r="L32" i="28"/>
  <c r="J32" i="28"/>
  <c r="I32" i="28"/>
  <c r="K32" i="28" s="1"/>
  <c r="F32" i="28"/>
  <c r="H32" i="28" s="1"/>
  <c r="V31" i="28"/>
  <c r="M31" i="28"/>
  <c r="L31" i="28"/>
  <c r="J31" i="28"/>
  <c r="H31" i="28"/>
  <c r="V30" i="28"/>
  <c r="F30" i="28" s="1"/>
  <c r="H30" i="28" s="1"/>
  <c r="M30" i="28"/>
  <c r="L30" i="28"/>
  <c r="N30" i="28" s="1"/>
  <c r="J30" i="28"/>
  <c r="I30" i="28"/>
  <c r="K30" i="28" s="1"/>
  <c r="V29" i="28"/>
  <c r="M29" i="28"/>
  <c r="L29" i="28"/>
  <c r="N29" i="28" s="1"/>
  <c r="J29" i="28"/>
  <c r="I29" i="28"/>
  <c r="H29" i="28"/>
  <c r="V28" i="28"/>
  <c r="M28" i="28"/>
  <c r="N28" i="28" s="1"/>
  <c r="L28" i="28"/>
  <c r="J28" i="28"/>
  <c r="I28" i="28"/>
  <c r="K28" i="28" s="1"/>
  <c r="H28" i="28"/>
  <c r="V27" i="28"/>
  <c r="M27" i="28"/>
  <c r="L27" i="28"/>
  <c r="N27" i="28" s="1"/>
  <c r="J27" i="28"/>
  <c r="I27" i="28"/>
  <c r="K27" i="28" s="1"/>
  <c r="H27" i="28"/>
  <c r="V26" i="28"/>
  <c r="M26" i="28"/>
  <c r="L26" i="28"/>
  <c r="N26" i="28" s="1"/>
  <c r="J26" i="28"/>
  <c r="I26" i="28"/>
  <c r="K26" i="28" s="1"/>
  <c r="F26" i="28"/>
  <c r="H26" i="28" s="1"/>
  <c r="V25" i="28"/>
  <c r="M25" i="28"/>
  <c r="L25" i="28"/>
  <c r="N25" i="28" s="1"/>
  <c r="J25" i="28"/>
  <c r="K25" i="28"/>
  <c r="H25" i="28"/>
  <c r="V24" i="28"/>
  <c r="M24" i="28"/>
  <c r="L24" i="28"/>
  <c r="J24" i="28"/>
  <c r="K24" i="28" s="1"/>
  <c r="H24" i="28"/>
  <c r="V23" i="28"/>
  <c r="F23" i="28" s="1"/>
  <c r="H23" i="28" s="1"/>
  <c r="M23" i="28"/>
  <c r="L23" i="28"/>
  <c r="J23" i="28"/>
  <c r="K23" i="28" s="1"/>
  <c r="I23" i="28"/>
  <c r="V22" i="28"/>
  <c r="F22" i="28" s="1"/>
  <c r="H22" i="28" s="1"/>
  <c r="M22" i="28"/>
  <c r="L22" i="28"/>
  <c r="J22" i="28"/>
  <c r="I22" i="28"/>
  <c r="K22" i="28" s="1"/>
  <c r="V21" i="28"/>
  <c r="M21" i="28"/>
  <c r="L21" i="28"/>
  <c r="N21" i="28" s="1"/>
  <c r="J21" i="28"/>
  <c r="I21" i="28"/>
  <c r="K21" i="28" s="1"/>
  <c r="F21" i="28"/>
  <c r="H21" i="28" s="1"/>
  <c r="H17" i="28"/>
  <c r="K106" i="28" s="1"/>
  <c r="I16" i="28"/>
  <c r="D114" i="27"/>
  <c r="H101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4" i="27"/>
  <c r="H75" i="27" s="1"/>
  <c r="H70" i="27"/>
  <c r="H71" i="27" s="1"/>
  <c r="H65" i="27"/>
  <c r="H64" i="27"/>
  <c r="H66" i="27" s="1"/>
  <c r="M60" i="27"/>
  <c r="F60" i="27" s="1"/>
  <c r="H60" i="27" s="1"/>
  <c r="M59" i="27"/>
  <c r="H59" i="27"/>
  <c r="H55" i="27"/>
  <c r="H54" i="27"/>
  <c r="H53" i="27"/>
  <c r="M52" i="27"/>
  <c r="F52" i="27" s="1"/>
  <c r="H52" i="27" s="1"/>
  <c r="M51" i="27"/>
  <c r="H51" i="27"/>
  <c r="M50" i="27"/>
  <c r="H50" i="27"/>
  <c r="M49" i="27"/>
  <c r="H49" i="27"/>
  <c r="V42" i="27"/>
  <c r="F42" i="27" s="1"/>
  <c r="H42" i="27" s="1"/>
  <c r="L42" i="27"/>
  <c r="N42" i="27" s="1"/>
  <c r="I42" i="27"/>
  <c r="K42" i="27" s="1"/>
  <c r="V41" i="27"/>
  <c r="N41" i="27"/>
  <c r="L41" i="27"/>
  <c r="I41" i="27"/>
  <c r="K41" i="27" s="1"/>
  <c r="F41" i="27"/>
  <c r="H41" i="27" s="1"/>
  <c r="V40" i="27"/>
  <c r="F40" i="27" s="1"/>
  <c r="H40" i="27" s="1"/>
  <c r="N40" i="27"/>
  <c r="L40" i="27"/>
  <c r="I40" i="27"/>
  <c r="K40" i="27" s="1"/>
  <c r="Z39" i="27"/>
  <c r="V39" i="27"/>
  <c r="L39" i="27"/>
  <c r="N39" i="27" s="1"/>
  <c r="I39" i="27"/>
  <c r="K39" i="27" s="1"/>
  <c r="F39" i="27"/>
  <c r="H39" i="27" s="1"/>
  <c r="M38" i="27"/>
  <c r="L38" i="27"/>
  <c r="N38" i="27" s="1"/>
  <c r="J38" i="27"/>
  <c r="I38" i="27"/>
  <c r="K38" i="27" s="1"/>
  <c r="F38" i="27"/>
  <c r="H38" i="27" s="1"/>
  <c r="V37" i="27"/>
  <c r="M37" i="27"/>
  <c r="L37" i="27"/>
  <c r="J37" i="27"/>
  <c r="I37" i="27"/>
  <c r="H37" i="27"/>
  <c r="V36" i="27"/>
  <c r="M36" i="27"/>
  <c r="L36" i="27"/>
  <c r="J36" i="27"/>
  <c r="I36" i="27"/>
  <c r="K36" i="27" s="1"/>
  <c r="H36" i="27"/>
  <c r="V35" i="27"/>
  <c r="M35" i="27"/>
  <c r="L35" i="27"/>
  <c r="N35" i="27" s="1"/>
  <c r="J35" i="27"/>
  <c r="I35" i="27"/>
  <c r="F35" i="27"/>
  <c r="H35" i="27" s="1"/>
  <c r="V34" i="27"/>
  <c r="N34" i="27"/>
  <c r="M34" i="27"/>
  <c r="L34" i="27"/>
  <c r="J34" i="27"/>
  <c r="I34" i="27"/>
  <c r="K34" i="27" s="1"/>
  <c r="H34" i="27"/>
  <c r="V33" i="27"/>
  <c r="M33" i="27"/>
  <c r="L33" i="27"/>
  <c r="J33" i="27"/>
  <c r="I33" i="27"/>
  <c r="H33" i="27"/>
  <c r="V32" i="27"/>
  <c r="M32" i="27"/>
  <c r="L32" i="27"/>
  <c r="N32" i="27" s="1"/>
  <c r="J32" i="27"/>
  <c r="I32" i="27"/>
  <c r="K32" i="27" s="1"/>
  <c r="H32" i="27"/>
  <c r="V31" i="27"/>
  <c r="M31" i="27"/>
  <c r="L31" i="27"/>
  <c r="J31" i="27"/>
  <c r="I31" i="27"/>
  <c r="H31" i="27"/>
  <c r="V30" i="27"/>
  <c r="F30" i="27" s="1"/>
  <c r="H30" i="27" s="1"/>
  <c r="M30" i="27"/>
  <c r="L30" i="27"/>
  <c r="N30" i="27" s="1"/>
  <c r="J30" i="27"/>
  <c r="I30" i="27"/>
  <c r="K30" i="27" s="1"/>
  <c r="V29" i="27"/>
  <c r="M29" i="27"/>
  <c r="L29" i="27"/>
  <c r="J29" i="27"/>
  <c r="K29" i="27" s="1"/>
  <c r="I29" i="27"/>
  <c r="H29" i="27"/>
  <c r="F29" i="27"/>
  <c r="V28" i="27"/>
  <c r="M28" i="27"/>
  <c r="L28" i="27"/>
  <c r="N28" i="27" s="1"/>
  <c r="K28" i="27"/>
  <c r="J28" i="27"/>
  <c r="I28" i="27"/>
  <c r="H28" i="27"/>
  <c r="V27" i="27"/>
  <c r="M27" i="27"/>
  <c r="L27" i="27"/>
  <c r="K27" i="27"/>
  <c r="J27" i="27"/>
  <c r="I27" i="27"/>
  <c r="H27" i="27"/>
  <c r="V26" i="27"/>
  <c r="F26" i="27" s="1"/>
  <c r="H26" i="27" s="1"/>
  <c r="M26" i="27"/>
  <c r="L26" i="27"/>
  <c r="J26" i="27"/>
  <c r="I26" i="27"/>
  <c r="K26" i="27" s="1"/>
  <c r="V25" i="27"/>
  <c r="H25" i="27" s="1"/>
  <c r="M25" i="27"/>
  <c r="L25" i="27"/>
  <c r="J25" i="27"/>
  <c r="I25" i="27"/>
  <c r="K25" i="27" s="1"/>
  <c r="V24" i="27"/>
  <c r="M24" i="27"/>
  <c r="L24" i="27"/>
  <c r="J24" i="27"/>
  <c r="K24" i="27" s="1"/>
  <c r="I24" i="27"/>
  <c r="H24" i="27"/>
  <c r="V23" i="27"/>
  <c r="M23" i="27"/>
  <c r="N23" i="27" s="1"/>
  <c r="L23" i="27"/>
  <c r="K23" i="27"/>
  <c r="J23" i="27"/>
  <c r="I23" i="27"/>
  <c r="F23" i="27"/>
  <c r="H23" i="27" s="1"/>
  <c r="V22" i="27"/>
  <c r="F22" i="27" s="1"/>
  <c r="H22" i="27" s="1"/>
  <c r="M22" i="27"/>
  <c r="N22" i="27" s="1"/>
  <c r="L22" i="27"/>
  <c r="J22" i="27"/>
  <c r="I22" i="27"/>
  <c r="V21" i="27"/>
  <c r="M21" i="27"/>
  <c r="L21" i="27"/>
  <c r="N21" i="27" s="1"/>
  <c r="J21" i="27"/>
  <c r="I21" i="27"/>
  <c r="K21" i="27" s="1"/>
  <c r="F21" i="27"/>
  <c r="H21" i="27" s="1"/>
  <c r="H16" i="27"/>
  <c r="H15" i="27"/>
  <c r="H14" i="27"/>
  <c r="H13" i="27"/>
  <c r="H12" i="27"/>
  <c r="H10" i="27"/>
  <c r="H9" i="27"/>
  <c r="H56" i="29" l="1"/>
  <c r="N27" i="27"/>
  <c r="K31" i="27"/>
  <c r="K33" i="27"/>
  <c r="N31" i="28"/>
  <c r="H66" i="28"/>
  <c r="K23" i="29"/>
  <c r="N30" i="29"/>
  <c r="N29" i="27"/>
  <c r="N31" i="27"/>
  <c r="N33" i="27"/>
  <c r="N43" i="27" s="1"/>
  <c r="K35" i="27"/>
  <c r="K37" i="27"/>
  <c r="N22" i="28"/>
  <c r="N24" i="28"/>
  <c r="N23" i="29"/>
  <c r="K29" i="29"/>
  <c r="N32" i="29"/>
  <c r="N43" i="29" s="1"/>
  <c r="K34" i="29"/>
  <c r="K36" i="29"/>
  <c r="N32" i="30"/>
  <c r="N34" i="30"/>
  <c r="N43" i="30" s="1"/>
  <c r="N36" i="30"/>
  <c r="N38" i="30"/>
  <c r="N24" i="27"/>
  <c r="N37" i="27"/>
  <c r="N27" i="30"/>
  <c r="N29" i="30"/>
  <c r="N26" i="27"/>
  <c r="N27" i="29"/>
  <c r="K38" i="29"/>
  <c r="V43" i="30"/>
  <c r="H61" i="27"/>
  <c r="K35" i="29"/>
  <c r="K43" i="29" s="1"/>
  <c r="V43" i="28"/>
  <c r="Z43" i="28" s="1"/>
  <c r="H61" i="28"/>
  <c r="K26" i="29"/>
  <c r="K30" i="30"/>
  <c r="N37" i="30"/>
  <c r="H99" i="27"/>
  <c r="V43" i="27"/>
  <c r="N25" i="27"/>
  <c r="N23" i="28"/>
  <c r="H56" i="28"/>
  <c r="K28" i="29"/>
  <c r="N33" i="29"/>
  <c r="K22" i="27"/>
  <c r="K43" i="27" s="1"/>
  <c r="N36" i="27"/>
  <c r="K29" i="28"/>
  <c r="K31" i="28"/>
  <c r="K43" i="28" s="1"/>
  <c r="K38" i="28"/>
  <c r="N22" i="30"/>
  <c r="N26" i="30"/>
  <c r="N28" i="30"/>
  <c r="H56" i="30"/>
  <c r="H99" i="30"/>
  <c r="K43" i="30"/>
  <c r="H66" i="29"/>
  <c r="H17" i="27"/>
  <c r="K106" i="27" s="1"/>
  <c r="H99" i="28"/>
  <c r="H43" i="28"/>
  <c r="H17" i="29"/>
  <c r="K106" i="29" s="1"/>
  <c r="H43" i="29"/>
  <c r="V43" i="29"/>
  <c r="F43" i="30"/>
  <c r="Z43" i="30"/>
  <c r="K21" i="29"/>
  <c r="K37" i="29"/>
  <c r="H43" i="30"/>
  <c r="H61" i="30"/>
  <c r="H61" i="29"/>
  <c r="Z43" i="27"/>
  <c r="F43" i="27"/>
  <c r="H43" i="27"/>
  <c r="N43" i="28"/>
  <c r="H56" i="27"/>
  <c r="F43" i="28"/>
  <c r="H44" i="28" l="1"/>
  <c r="K107" i="28" s="1"/>
  <c r="F43" i="29"/>
  <c r="Z43" i="29"/>
  <c r="H44" i="30"/>
  <c r="H44" i="29"/>
  <c r="H44" i="27"/>
  <c r="H45" i="28" l="1"/>
  <c r="H76" i="28" s="1"/>
  <c r="H102" i="28" s="1"/>
  <c r="H45" i="29"/>
  <c r="H76" i="29" s="1"/>
  <c r="K107" i="29"/>
  <c r="K107" i="30"/>
  <c r="H45" i="30"/>
  <c r="H76" i="30" s="1"/>
  <c r="H45" i="27"/>
  <c r="H76" i="27" s="1"/>
  <c r="K107" i="27"/>
  <c r="K108" i="28" l="1"/>
  <c r="K109" i="28" s="1"/>
  <c r="H102" i="29"/>
  <c r="K108" i="29"/>
  <c r="K109" i="29" s="1"/>
  <c r="K108" i="30"/>
  <c r="K109" i="30" s="1"/>
  <c r="H102" i="30"/>
  <c r="K108" i="27"/>
  <c r="K109" i="27" s="1"/>
  <c r="H102" i="27"/>
  <c r="H103" i="28"/>
  <c r="H104" i="28" s="1"/>
  <c r="H103" i="29" l="1"/>
  <c r="H103" i="30"/>
  <c r="H104" i="30" s="1"/>
  <c r="H103" i="27"/>
  <c r="H106" i="28"/>
  <c r="I106" i="28" s="1"/>
  <c r="H104" i="29" l="1"/>
  <c r="H106" i="30"/>
  <c r="I106" i="30" s="1"/>
  <c r="H107" i="28"/>
  <c r="H104" i="27"/>
  <c r="H107" i="30" l="1"/>
  <c r="H106" i="29"/>
  <c r="I106" i="29" s="1"/>
  <c r="H108" i="28"/>
  <c r="H109" i="28" s="1"/>
  <c r="H106" i="27"/>
  <c r="I106" i="27" s="1"/>
  <c r="H107" i="27" l="1"/>
  <c r="H107" i="29"/>
  <c r="H108" i="29"/>
  <c r="H109" i="29" s="1"/>
  <c r="H108" i="30"/>
  <c r="H109" i="30" s="1"/>
  <c r="J110" i="28"/>
  <c r="L109" i="28"/>
  <c r="M109" i="28" s="1"/>
  <c r="H108" i="27"/>
  <c r="H109" i="27" s="1"/>
  <c r="L109" i="29" l="1"/>
  <c r="M109" i="29" s="1"/>
  <c r="H110" i="30"/>
  <c r="H111" i="30" s="1"/>
  <c r="G40" i="2" s="1"/>
  <c r="J110" i="29"/>
  <c r="J110" i="30"/>
  <c r="L109" i="30"/>
  <c r="M109" i="30" s="1"/>
  <c r="L109" i="27"/>
  <c r="M109" i="27" s="1"/>
  <c r="H110" i="28"/>
  <c r="H111" i="28" s="1"/>
  <c r="J110" i="27"/>
  <c r="I103" i="28"/>
  <c r="J103" i="28"/>
  <c r="I103" i="30" l="1"/>
  <c r="J103" i="30"/>
  <c r="I103" i="29"/>
  <c r="J103" i="29"/>
  <c r="I103" i="27"/>
  <c r="J103" i="27"/>
  <c r="F53" i="2" l="1"/>
  <c r="F51" i="2"/>
  <c r="D114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4" i="14"/>
  <c r="H75" i="14" s="1"/>
  <c r="H71" i="14"/>
  <c r="H70" i="14"/>
  <c r="H65" i="14"/>
  <c r="H66" i="14" s="1"/>
  <c r="H64" i="14"/>
  <c r="M60" i="14"/>
  <c r="F60" i="14"/>
  <c r="H60" i="14" s="1"/>
  <c r="H61" i="14" s="1"/>
  <c r="M59" i="14"/>
  <c r="H59" i="14"/>
  <c r="H55" i="14"/>
  <c r="H54" i="14"/>
  <c r="H53" i="14"/>
  <c r="M52" i="14"/>
  <c r="H52" i="14"/>
  <c r="M51" i="14"/>
  <c r="H51" i="14"/>
  <c r="M50" i="14"/>
  <c r="H50" i="14"/>
  <c r="M49" i="14"/>
  <c r="H49" i="14"/>
  <c r="H56" i="14" s="1"/>
  <c r="V42" i="14"/>
  <c r="F42" i="14" s="1"/>
  <c r="H42" i="14" s="1"/>
  <c r="N42" i="14"/>
  <c r="L42" i="14"/>
  <c r="I42" i="14"/>
  <c r="K42" i="14" s="1"/>
  <c r="V41" i="14"/>
  <c r="N41" i="14"/>
  <c r="L41" i="14"/>
  <c r="I41" i="14"/>
  <c r="K41" i="14" s="1"/>
  <c r="H41" i="14"/>
  <c r="V40" i="14"/>
  <c r="L40" i="14"/>
  <c r="N40" i="14" s="1"/>
  <c r="K40" i="14"/>
  <c r="I40" i="14"/>
  <c r="H40" i="14"/>
  <c r="Z39" i="14"/>
  <c r="V39" i="14"/>
  <c r="L39" i="14"/>
  <c r="N39" i="14" s="1"/>
  <c r="K39" i="14"/>
  <c r="I39" i="14"/>
  <c r="H39" i="14"/>
  <c r="M38" i="14"/>
  <c r="L38" i="14"/>
  <c r="N38" i="14" s="1"/>
  <c r="J38" i="14"/>
  <c r="I38" i="14"/>
  <c r="K38" i="14" s="1"/>
  <c r="H38" i="14"/>
  <c r="V37" i="14"/>
  <c r="M37" i="14"/>
  <c r="N37" i="14" s="1"/>
  <c r="L37" i="14"/>
  <c r="K37" i="14"/>
  <c r="J37" i="14"/>
  <c r="I37" i="14"/>
  <c r="H37" i="14"/>
  <c r="V36" i="14"/>
  <c r="M36" i="14"/>
  <c r="L36" i="14"/>
  <c r="N36" i="14" s="1"/>
  <c r="J36" i="14"/>
  <c r="I36" i="14"/>
  <c r="K36" i="14" s="1"/>
  <c r="H36" i="14"/>
  <c r="V35" i="14"/>
  <c r="N35" i="14"/>
  <c r="M35" i="14"/>
  <c r="L35" i="14"/>
  <c r="J35" i="14"/>
  <c r="I35" i="14"/>
  <c r="K35" i="14" s="1"/>
  <c r="H35" i="14"/>
  <c r="V34" i="14"/>
  <c r="M34" i="14"/>
  <c r="N34" i="14" s="1"/>
  <c r="L34" i="14"/>
  <c r="K34" i="14"/>
  <c r="J34" i="14"/>
  <c r="I34" i="14"/>
  <c r="H34" i="14"/>
  <c r="V33" i="14"/>
  <c r="M33" i="14"/>
  <c r="L33" i="14"/>
  <c r="N33" i="14" s="1"/>
  <c r="J33" i="14"/>
  <c r="I33" i="14"/>
  <c r="K33" i="14" s="1"/>
  <c r="H33" i="14"/>
  <c r="V32" i="14"/>
  <c r="F32" i="14" s="1"/>
  <c r="H32" i="14" s="1"/>
  <c r="M32" i="14"/>
  <c r="N32" i="14" s="1"/>
  <c r="L32" i="14"/>
  <c r="J32" i="14"/>
  <c r="I32" i="14"/>
  <c r="K32" i="14" s="1"/>
  <c r="V31" i="14"/>
  <c r="N31" i="14"/>
  <c r="M31" i="14"/>
  <c r="L31" i="14"/>
  <c r="J31" i="14"/>
  <c r="K31" i="14" s="1"/>
  <c r="H31" i="14"/>
  <c r="V30" i="14"/>
  <c r="M30" i="14"/>
  <c r="L30" i="14"/>
  <c r="N30" i="14" s="1"/>
  <c r="J30" i="14"/>
  <c r="K30" i="14" s="1"/>
  <c r="I30" i="14"/>
  <c r="H30" i="14"/>
  <c r="F30" i="14"/>
  <c r="V29" i="14"/>
  <c r="M29" i="14"/>
  <c r="L29" i="14"/>
  <c r="N29" i="14" s="1"/>
  <c r="J29" i="14"/>
  <c r="K29" i="14"/>
  <c r="H29" i="14"/>
  <c r="V28" i="14"/>
  <c r="M28" i="14"/>
  <c r="N28" i="14" s="1"/>
  <c r="L28" i="14"/>
  <c r="J28" i="14"/>
  <c r="I28" i="14"/>
  <c r="K28" i="14" s="1"/>
  <c r="H28" i="14"/>
  <c r="V27" i="14"/>
  <c r="M27" i="14"/>
  <c r="L27" i="14"/>
  <c r="N27" i="14" s="1"/>
  <c r="K27" i="14"/>
  <c r="J27" i="14"/>
  <c r="I27" i="14"/>
  <c r="H27" i="14"/>
  <c r="V26" i="14"/>
  <c r="M26" i="14"/>
  <c r="L26" i="14"/>
  <c r="N26" i="14" s="1"/>
  <c r="J26" i="14"/>
  <c r="I26" i="14"/>
  <c r="K26" i="14" s="1"/>
  <c r="F26" i="14"/>
  <c r="H26" i="14" s="1"/>
  <c r="V25" i="14"/>
  <c r="N25" i="14"/>
  <c r="M25" i="14"/>
  <c r="L25" i="14"/>
  <c r="J25" i="14"/>
  <c r="K25" i="14" s="1"/>
  <c r="I25" i="14"/>
  <c r="H25" i="14"/>
  <c r="V24" i="14"/>
  <c r="M24" i="14"/>
  <c r="N24" i="14" s="1"/>
  <c r="L24" i="14"/>
  <c r="K24" i="14"/>
  <c r="J24" i="14"/>
  <c r="H24" i="14"/>
  <c r="V23" i="14"/>
  <c r="M23" i="14"/>
  <c r="L23" i="14"/>
  <c r="N23" i="14" s="1"/>
  <c r="J23" i="14"/>
  <c r="I23" i="14"/>
  <c r="K23" i="14" s="1"/>
  <c r="F23" i="14"/>
  <c r="H23" i="14" s="1"/>
  <c r="V22" i="14"/>
  <c r="M22" i="14"/>
  <c r="L22" i="14"/>
  <c r="N22" i="14" s="1"/>
  <c r="J22" i="14"/>
  <c r="I22" i="14"/>
  <c r="K22" i="14" s="1"/>
  <c r="F22" i="14"/>
  <c r="H22" i="14" s="1"/>
  <c r="V21" i="14"/>
  <c r="F21" i="14" s="1"/>
  <c r="H21" i="14" s="1"/>
  <c r="M21" i="14"/>
  <c r="L21" i="14"/>
  <c r="N21" i="14" s="1"/>
  <c r="J21" i="14"/>
  <c r="I21" i="14"/>
  <c r="K21" i="14" s="1"/>
  <c r="H17" i="14"/>
  <c r="K106" i="14" s="1"/>
  <c r="I16" i="14"/>
  <c r="D114" i="13"/>
  <c r="H101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4" i="13"/>
  <c r="H75" i="13" s="1"/>
  <c r="H70" i="13"/>
  <c r="H71" i="13" s="1"/>
  <c r="H65" i="13"/>
  <c r="H64" i="13"/>
  <c r="H66" i="13" s="1"/>
  <c r="M60" i="13"/>
  <c r="F60" i="13" s="1"/>
  <c r="H60" i="13" s="1"/>
  <c r="M59" i="13"/>
  <c r="H59" i="13"/>
  <c r="H55" i="13"/>
  <c r="H54" i="13"/>
  <c r="H53" i="13"/>
  <c r="M52" i="13"/>
  <c r="F52" i="13" s="1"/>
  <c r="H52" i="13" s="1"/>
  <c r="M51" i="13"/>
  <c r="H51" i="13"/>
  <c r="M50" i="13"/>
  <c r="H50" i="13"/>
  <c r="M49" i="13"/>
  <c r="H49" i="13"/>
  <c r="V42" i="13"/>
  <c r="F42" i="13" s="1"/>
  <c r="H42" i="13" s="1"/>
  <c r="L42" i="13"/>
  <c r="N42" i="13" s="1"/>
  <c r="K42" i="13"/>
  <c r="I42" i="13"/>
  <c r="V41" i="13"/>
  <c r="F41" i="13" s="1"/>
  <c r="H41" i="13" s="1"/>
  <c r="L41" i="13"/>
  <c r="N41" i="13" s="1"/>
  <c r="I41" i="13"/>
  <c r="K41" i="13" s="1"/>
  <c r="V40" i="13"/>
  <c r="F40" i="13" s="1"/>
  <c r="H40" i="13" s="1"/>
  <c r="L40" i="13"/>
  <c r="N40" i="13" s="1"/>
  <c r="K40" i="13"/>
  <c r="I40" i="13"/>
  <c r="Z39" i="13"/>
  <c r="V39" i="13"/>
  <c r="F39" i="13" s="1"/>
  <c r="H39" i="13" s="1"/>
  <c r="L39" i="13"/>
  <c r="N39" i="13" s="1"/>
  <c r="I39" i="13"/>
  <c r="K39" i="13" s="1"/>
  <c r="M38" i="13"/>
  <c r="L38" i="13"/>
  <c r="N38" i="13" s="1"/>
  <c r="J38" i="13"/>
  <c r="I38" i="13"/>
  <c r="K38" i="13" s="1"/>
  <c r="F38" i="13"/>
  <c r="H38" i="13" s="1"/>
  <c r="V37" i="13"/>
  <c r="M37" i="13"/>
  <c r="L37" i="13"/>
  <c r="J37" i="13"/>
  <c r="I37" i="13"/>
  <c r="K37" i="13" s="1"/>
  <c r="H37" i="13"/>
  <c r="V36" i="13"/>
  <c r="M36" i="13"/>
  <c r="L36" i="13"/>
  <c r="N36" i="13" s="1"/>
  <c r="J36" i="13"/>
  <c r="I36" i="13"/>
  <c r="H36" i="13"/>
  <c r="V35" i="13"/>
  <c r="F35" i="13" s="1"/>
  <c r="H35" i="13" s="1"/>
  <c r="M35" i="13"/>
  <c r="L35" i="13"/>
  <c r="J35" i="13"/>
  <c r="I35" i="13"/>
  <c r="V34" i="13"/>
  <c r="F34" i="13" s="1"/>
  <c r="H34" i="13" s="1"/>
  <c r="M34" i="13"/>
  <c r="L34" i="13"/>
  <c r="N34" i="13" s="1"/>
  <c r="J34" i="13"/>
  <c r="K34" i="13" s="1"/>
  <c r="I34" i="13"/>
  <c r="V33" i="13"/>
  <c r="M33" i="13"/>
  <c r="L33" i="13"/>
  <c r="N33" i="13" s="1"/>
  <c r="K33" i="13"/>
  <c r="J33" i="13"/>
  <c r="I33" i="13"/>
  <c r="H33" i="13"/>
  <c r="V32" i="13"/>
  <c r="M32" i="13"/>
  <c r="L32" i="13"/>
  <c r="N32" i="13" s="1"/>
  <c r="J32" i="13"/>
  <c r="I32" i="13"/>
  <c r="H32" i="13"/>
  <c r="V31" i="13"/>
  <c r="M31" i="13"/>
  <c r="L31" i="13"/>
  <c r="J31" i="13"/>
  <c r="I31" i="13"/>
  <c r="K31" i="13" s="1"/>
  <c r="H31" i="13"/>
  <c r="V30" i="13"/>
  <c r="M30" i="13"/>
  <c r="L30" i="13"/>
  <c r="N30" i="13" s="1"/>
  <c r="J30" i="13"/>
  <c r="I30" i="13"/>
  <c r="K30" i="13" s="1"/>
  <c r="F30" i="13"/>
  <c r="H30" i="13" s="1"/>
  <c r="V29" i="13"/>
  <c r="M29" i="13"/>
  <c r="L29" i="13"/>
  <c r="J29" i="13"/>
  <c r="I29" i="13"/>
  <c r="K29" i="13" s="1"/>
  <c r="F29" i="13"/>
  <c r="H29" i="13" s="1"/>
  <c r="V28" i="13"/>
  <c r="M28" i="13"/>
  <c r="L28" i="13"/>
  <c r="N28" i="13" s="1"/>
  <c r="J28" i="13"/>
  <c r="I28" i="13"/>
  <c r="H28" i="13"/>
  <c r="V27" i="13"/>
  <c r="M27" i="13"/>
  <c r="L27" i="13"/>
  <c r="J27" i="13"/>
  <c r="I27" i="13"/>
  <c r="K27" i="13" s="1"/>
  <c r="H27" i="13"/>
  <c r="V26" i="13"/>
  <c r="F26" i="13" s="1"/>
  <c r="H26" i="13" s="1"/>
  <c r="M26" i="13"/>
  <c r="L26" i="13"/>
  <c r="N26" i="13" s="1"/>
  <c r="J26" i="13"/>
  <c r="I26" i="13"/>
  <c r="K26" i="13" s="1"/>
  <c r="V25" i="13"/>
  <c r="M25" i="13"/>
  <c r="L25" i="13"/>
  <c r="N25" i="13" s="1"/>
  <c r="J25" i="13"/>
  <c r="I25" i="13"/>
  <c r="K25" i="13" s="1"/>
  <c r="F25" i="13"/>
  <c r="H25" i="13" s="1"/>
  <c r="V24" i="13"/>
  <c r="M24" i="13"/>
  <c r="L24" i="13"/>
  <c r="N24" i="13" s="1"/>
  <c r="J24" i="13"/>
  <c r="I24" i="13"/>
  <c r="K24" i="13" s="1"/>
  <c r="H24" i="13"/>
  <c r="V23" i="13"/>
  <c r="M23" i="13"/>
  <c r="L23" i="13"/>
  <c r="N23" i="13" s="1"/>
  <c r="J23" i="13"/>
  <c r="I23" i="13"/>
  <c r="K23" i="13" s="1"/>
  <c r="H23" i="13"/>
  <c r="F23" i="13"/>
  <c r="V22" i="13"/>
  <c r="F22" i="13" s="1"/>
  <c r="H22" i="13" s="1"/>
  <c r="M22" i="13"/>
  <c r="L22" i="13"/>
  <c r="N22" i="13" s="1"/>
  <c r="J22" i="13"/>
  <c r="I22" i="13"/>
  <c r="V21" i="13"/>
  <c r="M21" i="13"/>
  <c r="L21" i="13"/>
  <c r="N21" i="13" s="1"/>
  <c r="J21" i="13"/>
  <c r="I21" i="13"/>
  <c r="K21" i="13" s="1"/>
  <c r="H16" i="13"/>
  <c r="H15" i="13"/>
  <c r="H14" i="13"/>
  <c r="H13" i="13"/>
  <c r="H12" i="13"/>
  <c r="H10" i="13"/>
  <c r="H9" i="13"/>
  <c r="D114" i="12"/>
  <c r="H101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99" i="12" s="1"/>
  <c r="H74" i="12"/>
  <c r="H75" i="12" s="1"/>
  <c r="H70" i="12"/>
  <c r="H71" i="12" s="1"/>
  <c r="H65" i="12"/>
  <c r="H66" i="12" s="1"/>
  <c r="H64" i="12"/>
  <c r="H61" i="12"/>
  <c r="M60" i="12"/>
  <c r="H60" i="12"/>
  <c r="F60" i="12"/>
  <c r="M59" i="12"/>
  <c r="H59" i="12"/>
  <c r="H55" i="12"/>
  <c r="H54" i="12"/>
  <c r="H53" i="12"/>
  <c r="M52" i="12"/>
  <c r="H52" i="12"/>
  <c r="M51" i="12"/>
  <c r="H51" i="12"/>
  <c r="M50" i="12"/>
  <c r="H50" i="12"/>
  <c r="M49" i="12"/>
  <c r="H49" i="12"/>
  <c r="H56" i="12" s="1"/>
  <c r="V42" i="12"/>
  <c r="F42" i="12" s="1"/>
  <c r="H42" i="12" s="1"/>
  <c r="N42" i="12"/>
  <c r="L42" i="12"/>
  <c r="K42" i="12"/>
  <c r="I42" i="12"/>
  <c r="V41" i="12"/>
  <c r="N41" i="12"/>
  <c r="L41" i="12"/>
  <c r="I41" i="12"/>
  <c r="K41" i="12" s="1"/>
  <c r="H41" i="12"/>
  <c r="V40" i="12"/>
  <c r="L40" i="12"/>
  <c r="N40" i="12" s="1"/>
  <c r="I40" i="12"/>
  <c r="K40" i="12" s="1"/>
  <c r="H40" i="12"/>
  <c r="Z39" i="12"/>
  <c r="V39" i="12"/>
  <c r="L39" i="12"/>
  <c r="N39" i="12" s="1"/>
  <c r="K39" i="12"/>
  <c r="I39" i="12"/>
  <c r="H39" i="12"/>
  <c r="M38" i="12"/>
  <c r="N38" i="12" s="1"/>
  <c r="L38" i="12"/>
  <c r="J38" i="12"/>
  <c r="I38" i="12"/>
  <c r="K38" i="12" s="1"/>
  <c r="H38" i="12"/>
  <c r="V37" i="12"/>
  <c r="M37" i="12"/>
  <c r="N37" i="12" s="1"/>
  <c r="L37" i="12"/>
  <c r="K37" i="12"/>
  <c r="J37" i="12"/>
  <c r="I37" i="12"/>
  <c r="H37" i="12"/>
  <c r="V36" i="12"/>
  <c r="M36" i="12"/>
  <c r="L36" i="12"/>
  <c r="N36" i="12" s="1"/>
  <c r="J36" i="12"/>
  <c r="I36" i="12"/>
  <c r="K36" i="12" s="1"/>
  <c r="H36" i="12"/>
  <c r="V35" i="12"/>
  <c r="M35" i="12"/>
  <c r="N35" i="12" s="1"/>
  <c r="L35" i="12"/>
  <c r="J35" i="12"/>
  <c r="I35" i="12"/>
  <c r="K35" i="12" s="1"/>
  <c r="H35" i="12"/>
  <c r="V34" i="12"/>
  <c r="M34" i="12"/>
  <c r="N34" i="12" s="1"/>
  <c r="L34" i="12"/>
  <c r="K34" i="12"/>
  <c r="J34" i="12"/>
  <c r="I34" i="12"/>
  <c r="H34" i="12"/>
  <c r="V33" i="12"/>
  <c r="M33" i="12"/>
  <c r="L33" i="12"/>
  <c r="J33" i="12"/>
  <c r="I33" i="12"/>
  <c r="H33" i="12"/>
  <c r="V32" i="12"/>
  <c r="F32" i="12" s="1"/>
  <c r="H32" i="12" s="1"/>
  <c r="M32" i="12"/>
  <c r="L32" i="12"/>
  <c r="N32" i="12" s="1"/>
  <c r="J32" i="12"/>
  <c r="I32" i="12"/>
  <c r="K32" i="12" s="1"/>
  <c r="V31" i="12"/>
  <c r="N31" i="12"/>
  <c r="M31" i="12"/>
  <c r="L31" i="12"/>
  <c r="J31" i="12"/>
  <c r="K31" i="12" s="1"/>
  <c r="I31" i="12"/>
  <c r="H31" i="12"/>
  <c r="V30" i="12"/>
  <c r="M30" i="12"/>
  <c r="L30" i="12"/>
  <c r="N30" i="12" s="1"/>
  <c r="J30" i="12"/>
  <c r="K30" i="12" s="1"/>
  <c r="I30" i="12"/>
  <c r="H30" i="12"/>
  <c r="F30" i="12"/>
  <c r="V29" i="12"/>
  <c r="M29" i="12"/>
  <c r="L29" i="12"/>
  <c r="N29" i="12" s="1"/>
  <c r="J29" i="12"/>
  <c r="I29" i="12"/>
  <c r="K29" i="12" s="1"/>
  <c r="H29" i="12"/>
  <c r="V28" i="12"/>
  <c r="M28" i="12"/>
  <c r="L28" i="12"/>
  <c r="N28" i="12" s="1"/>
  <c r="J28" i="12"/>
  <c r="I28" i="12"/>
  <c r="K28" i="12" s="1"/>
  <c r="H28" i="12"/>
  <c r="V27" i="12"/>
  <c r="M27" i="12"/>
  <c r="L27" i="12"/>
  <c r="N27" i="12" s="1"/>
  <c r="K27" i="12"/>
  <c r="J27" i="12"/>
  <c r="I27" i="12"/>
  <c r="H27" i="12"/>
  <c r="V26" i="12"/>
  <c r="M26" i="12"/>
  <c r="N26" i="12" s="1"/>
  <c r="L26" i="12"/>
  <c r="J26" i="12"/>
  <c r="I26" i="12"/>
  <c r="K26" i="12" s="1"/>
  <c r="F26" i="12"/>
  <c r="H26" i="12" s="1"/>
  <c r="V25" i="12"/>
  <c r="N25" i="12"/>
  <c r="M25" i="12"/>
  <c r="L25" i="12"/>
  <c r="J25" i="12"/>
  <c r="K25" i="12" s="1"/>
  <c r="I25" i="12"/>
  <c r="H25" i="12"/>
  <c r="V24" i="12"/>
  <c r="M24" i="12"/>
  <c r="L24" i="12"/>
  <c r="N24" i="12" s="1"/>
  <c r="J24" i="12"/>
  <c r="I24" i="12"/>
  <c r="K24" i="12" s="1"/>
  <c r="H24" i="12"/>
  <c r="V23" i="12"/>
  <c r="M23" i="12"/>
  <c r="L23" i="12"/>
  <c r="N23" i="12" s="1"/>
  <c r="J23" i="12"/>
  <c r="I23" i="12"/>
  <c r="K23" i="12" s="1"/>
  <c r="H23" i="12"/>
  <c r="F23" i="12"/>
  <c r="V22" i="12"/>
  <c r="F22" i="12" s="1"/>
  <c r="H22" i="12" s="1"/>
  <c r="N22" i="12"/>
  <c r="M22" i="12"/>
  <c r="L22" i="12"/>
  <c r="J22" i="12"/>
  <c r="I22" i="12"/>
  <c r="K22" i="12" s="1"/>
  <c r="V21" i="12"/>
  <c r="F21" i="12" s="1"/>
  <c r="H21" i="12" s="1"/>
  <c r="N21" i="12"/>
  <c r="M21" i="12"/>
  <c r="L21" i="12"/>
  <c r="J21" i="12"/>
  <c r="K21" i="12" s="1"/>
  <c r="I21" i="12"/>
  <c r="H17" i="12"/>
  <c r="K106" i="12" s="1"/>
  <c r="I16" i="12"/>
  <c r="D114" i="11"/>
  <c r="H101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99" i="11" s="1"/>
  <c r="H74" i="11"/>
  <c r="H75" i="11" s="1"/>
  <c r="H71" i="11"/>
  <c r="H70" i="11"/>
  <c r="H66" i="11"/>
  <c r="H65" i="11"/>
  <c r="H64" i="11"/>
  <c r="M60" i="11"/>
  <c r="F60" i="11"/>
  <c r="H60" i="11" s="1"/>
  <c r="M59" i="11"/>
  <c r="H59" i="11"/>
  <c r="H61" i="11" s="1"/>
  <c r="H55" i="11"/>
  <c r="H54" i="11"/>
  <c r="H53" i="11"/>
  <c r="M52" i="11"/>
  <c r="F52" i="11" s="1"/>
  <c r="H52" i="11" s="1"/>
  <c r="H56" i="11" s="1"/>
  <c r="M51" i="11"/>
  <c r="H51" i="11"/>
  <c r="M50" i="11"/>
  <c r="H50" i="11"/>
  <c r="M49" i="11"/>
  <c r="H49" i="11"/>
  <c r="V42" i="11"/>
  <c r="L42" i="11"/>
  <c r="N42" i="11" s="1"/>
  <c r="I42" i="11"/>
  <c r="K42" i="11" s="1"/>
  <c r="F42" i="11"/>
  <c r="H42" i="11" s="1"/>
  <c r="V41" i="11"/>
  <c r="F41" i="11" s="1"/>
  <c r="H41" i="11" s="1"/>
  <c r="L41" i="11"/>
  <c r="N41" i="11" s="1"/>
  <c r="K41" i="11"/>
  <c r="I41" i="11"/>
  <c r="V40" i="11"/>
  <c r="F40" i="11" s="1"/>
  <c r="H40" i="11" s="1"/>
  <c r="L40" i="11"/>
  <c r="N40" i="11" s="1"/>
  <c r="I40" i="11"/>
  <c r="K40" i="11" s="1"/>
  <c r="Z39" i="11"/>
  <c r="V39" i="11"/>
  <c r="L39" i="11"/>
  <c r="N39" i="11" s="1"/>
  <c r="I39" i="11"/>
  <c r="K39" i="11" s="1"/>
  <c r="F39" i="11"/>
  <c r="H39" i="11" s="1"/>
  <c r="M38" i="11"/>
  <c r="L38" i="11"/>
  <c r="N38" i="11" s="1"/>
  <c r="J38" i="11"/>
  <c r="I38" i="11"/>
  <c r="K38" i="11" s="1"/>
  <c r="F38" i="11"/>
  <c r="H38" i="11" s="1"/>
  <c r="V37" i="11"/>
  <c r="M37" i="11"/>
  <c r="L37" i="11"/>
  <c r="N37" i="11" s="1"/>
  <c r="J37" i="11"/>
  <c r="I37" i="11"/>
  <c r="K37" i="11" s="1"/>
  <c r="H37" i="11"/>
  <c r="V36" i="11"/>
  <c r="M36" i="11"/>
  <c r="L36" i="11"/>
  <c r="N36" i="11" s="1"/>
  <c r="J36" i="11"/>
  <c r="I36" i="11"/>
  <c r="K36" i="11" s="1"/>
  <c r="H36" i="11"/>
  <c r="V35" i="11"/>
  <c r="N35" i="11"/>
  <c r="M35" i="11"/>
  <c r="L35" i="11"/>
  <c r="K35" i="11"/>
  <c r="J35" i="11"/>
  <c r="I35" i="11"/>
  <c r="F35" i="11"/>
  <c r="H35" i="11" s="1"/>
  <c r="V34" i="11"/>
  <c r="F34" i="11" s="1"/>
  <c r="H34" i="11" s="1"/>
  <c r="M34" i="11"/>
  <c r="N34" i="11" s="1"/>
  <c r="L34" i="11"/>
  <c r="K34" i="11"/>
  <c r="J34" i="11"/>
  <c r="I34" i="11"/>
  <c r="V33" i="11"/>
  <c r="M33" i="11"/>
  <c r="L33" i="11"/>
  <c r="N33" i="11" s="1"/>
  <c r="J33" i="11"/>
  <c r="K33" i="11" s="1"/>
  <c r="I33" i="11"/>
  <c r="H33" i="11"/>
  <c r="V32" i="11"/>
  <c r="M32" i="11"/>
  <c r="L32" i="11"/>
  <c r="N32" i="11" s="1"/>
  <c r="J32" i="11"/>
  <c r="I32" i="11"/>
  <c r="K32" i="11" s="1"/>
  <c r="H32" i="11"/>
  <c r="V31" i="11"/>
  <c r="N31" i="11"/>
  <c r="M31" i="11"/>
  <c r="L31" i="11"/>
  <c r="J31" i="11"/>
  <c r="I31" i="11"/>
  <c r="K31" i="11" s="1"/>
  <c r="H31" i="11"/>
  <c r="V30" i="11"/>
  <c r="M30" i="11"/>
  <c r="L30" i="11"/>
  <c r="N30" i="11" s="1"/>
  <c r="J30" i="11"/>
  <c r="K30" i="11" s="1"/>
  <c r="I30" i="11"/>
  <c r="H30" i="11"/>
  <c r="F30" i="11"/>
  <c r="V29" i="11"/>
  <c r="M29" i="11"/>
  <c r="L29" i="11"/>
  <c r="N29" i="11" s="1"/>
  <c r="J29" i="11"/>
  <c r="I29" i="11"/>
  <c r="K29" i="11" s="1"/>
  <c r="F29" i="11"/>
  <c r="H29" i="11" s="1"/>
  <c r="V28" i="11"/>
  <c r="N28" i="11"/>
  <c r="M28" i="11"/>
  <c r="L28" i="11"/>
  <c r="J28" i="11"/>
  <c r="I28" i="11"/>
  <c r="K28" i="11" s="1"/>
  <c r="H28" i="11"/>
  <c r="V27" i="11"/>
  <c r="M27" i="11"/>
  <c r="L27" i="11"/>
  <c r="N27" i="11" s="1"/>
  <c r="J27" i="11"/>
  <c r="I27" i="11"/>
  <c r="K27" i="11" s="1"/>
  <c r="H27" i="11"/>
  <c r="V26" i="11"/>
  <c r="M26" i="11"/>
  <c r="L26" i="11"/>
  <c r="N26" i="11" s="1"/>
  <c r="J26" i="11"/>
  <c r="I26" i="11"/>
  <c r="K26" i="11" s="1"/>
  <c r="H26" i="11"/>
  <c r="F26" i="11"/>
  <c r="V25" i="11"/>
  <c r="F25" i="11" s="1"/>
  <c r="H25" i="11" s="1"/>
  <c r="M25" i="11"/>
  <c r="L25" i="11"/>
  <c r="N25" i="11" s="1"/>
  <c r="J25" i="11"/>
  <c r="I25" i="11"/>
  <c r="K25" i="11" s="1"/>
  <c r="V24" i="11"/>
  <c r="N24" i="11"/>
  <c r="M24" i="11"/>
  <c r="L24" i="11"/>
  <c r="J24" i="11"/>
  <c r="I24" i="11"/>
  <c r="K24" i="11" s="1"/>
  <c r="H24" i="11"/>
  <c r="V23" i="11"/>
  <c r="M23" i="11"/>
  <c r="L23" i="11"/>
  <c r="N23" i="11" s="1"/>
  <c r="J23" i="11"/>
  <c r="K23" i="11" s="1"/>
  <c r="I23" i="11"/>
  <c r="H23" i="11"/>
  <c r="F23" i="11"/>
  <c r="V22" i="11"/>
  <c r="M22" i="11"/>
  <c r="L22" i="11"/>
  <c r="N22" i="11" s="1"/>
  <c r="J22" i="11"/>
  <c r="I22" i="11"/>
  <c r="K22" i="11" s="1"/>
  <c r="F22" i="11"/>
  <c r="H22" i="11" s="1"/>
  <c r="V21" i="11"/>
  <c r="V43" i="11" s="1"/>
  <c r="N21" i="11"/>
  <c r="M21" i="11"/>
  <c r="L21" i="11"/>
  <c r="J21" i="11"/>
  <c r="I21" i="11"/>
  <c r="K21" i="11" s="1"/>
  <c r="F21" i="11"/>
  <c r="H21" i="11" s="1"/>
  <c r="H16" i="11"/>
  <c r="H15" i="11"/>
  <c r="H14" i="11"/>
  <c r="H13" i="11"/>
  <c r="H12" i="11"/>
  <c r="H11" i="11"/>
  <c r="H10" i="11"/>
  <c r="H9" i="11"/>
  <c r="D114" i="10"/>
  <c r="H101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4" i="10"/>
  <c r="H75" i="10" s="1"/>
  <c r="H70" i="10"/>
  <c r="H71" i="10" s="1"/>
  <c r="H65" i="10"/>
  <c r="H64" i="10"/>
  <c r="H66" i="10" s="1"/>
  <c r="M60" i="10"/>
  <c r="F60" i="10" s="1"/>
  <c r="H60" i="10" s="1"/>
  <c r="H61" i="10" s="1"/>
  <c r="M59" i="10"/>
  <c r="H59" i="10"/>
  <c r="H55" i="10"/>
  <c r="H54" i="10"/>
  <c r="H53" i="10"/>
  <c r="M52" i="10"/>
  <c r="H52" i="10"/>
  <c r="M51" i="10"/>
  <c r="H51" i="10"/>
  <c r="H56" i="10" s="1"/>
  <c r="M50" i="10"/>
  <c r="H50" i="10"/>
  <c r="M49" i="10"/>
  <c r="H49" i="10"/>
  <c r="V42" i="10"/>
  <c r="F42" i="10" s="1"/>
  <c r="H42" i="10" s="1"/>
  <c r="L42" i="10"/>
  <c r="N42" i="10" s="1"/>
  <c r="K42" i="10"/>
  <c r="I42" i="10"/>
  <c r="V41" i="10"/>
  <c r="L41" i="10"/>
  <c r="N41" i="10" s="1"/>
  <c r="I41" i="10"/>
  <c r="K41" i="10" s="1"/>
  <c r="H41" i="10"/>
  <c r="V40" i="10"/>
  <c r="N40" i="10"/>
  <c r="L40" i="10"/>
  <c r="I40" i="10"/>
  <c r="K40" i="10" s="1"/>
  <c r="H40" i="10"/>
  <c r="V39" i="10"/>
  <c r="N39" i="10"/>
  <c r="L39" i="10"/>
  <c r="I39" i="10"/>
  <c r="K39" i="10" s="1"/>
  <c r="H39" i="10"/>
  <c r="N38" i="10"/>
  <c r="M38" i="10"/>
  <c r="L38" i="10"/>
  <c r="J38" i="10"/>
  <c r="I38" i="10"/>
  <c r="K38" i="10" s="1"/>
  <c r="H38" i="10"/>
  <c r="V37" i="10"/>
  <c r="M37" i="10"/>
  <c r="L37" i="10"/>
  <c r="N37" i="10" s="1"/>
  <c r="J37" i="10"/>
  <c r="K37" i="10" s="1"/>
  <c r="I37" i="10"/>
  <c r="H37" i="10"/>
  <c r="V36" i="10"/>
  <c r="M36" i="10"/>
  <c r="L36" i="10"/>
  <c r="N36" i="10" s="1"/>
  <c r="J36" i="10"/>
  <c r="I36" i="10"/>
  <c r="K36" i="10" s="1"/>
  <c r="H36" i="10"/>
  <c r="V35" i="10"/>
  <c r="N35" i="10"/>
  <c r="M35" i="10"/>
  <c r="L35" i="10"/>
  <c r="J35" i="10"/>
  <c r="I35" i="10"/>
  <c r="K35" i="10" s="1"/>
  <c r="H35" i="10"/>
  <c r="V34" i="10"/>
  <c r="M34" i="10"/>
  <c r="L34" i="10"/>
  <c r="N34" i="10" s="1"/>
  <c r="J34" i="10"/>
  <c r="K34" i="10" s="1"/>
  <c r="I34" i="10"/>
  <c r="H34" i="10"/>
  <c r="V33" i="10"/>
  <c r="M33" i="10"/>
  <c r="L33" i="10"/>
  <c r="N33" i="10" s="1"/>
  <c r="J33" i="10"/>
  <c r="I33" i="10"/>
  <c r="K33" i="10" s="1"/>
  <c r="H33" i="10"/>
  <c r="V32" i="10"/>
  <c r="N32" i="10"/>
  <c r="M32" i="10"/>
  <c r="L32" i="10"/>
  <c r="J32" i="10"/>
  <c r="I32" i="10"/>
  <c r="K32" i="10" s="1"/>
  <c r="F32" i="10"/>
  <c r="H32" i="10" s="1"/>
  <c r="V31" i="10"/>
  <c r="M31" i="10"/>
  <c r="N31" i="10" s="1"/>
  <c r="L31" i="10"/>
  <c r="K31" i="10"/>
  <c r="J31" i="10"/>
  <c r="I31" i="10"/>
  <c r="H31" i="10"/>
  <c r="V30" i="10"/>
  <c r="M30" i="10"/>
  <c r="L30" i="10"/>
  <c r="N30" i="10" s="1"/>
  <c r="J30" i="10"/>
  <c r="I30" i="10"/>
  <c r="K30" i="10" s="1"/>
  <c r="F30" i="10"/>
  <c r="H30" i="10" s="1"/>
  <c r="V29" i="10"/>
  <c r="M29" i="10"/>
  <c r="L29" i="10"/>
  <c r="N29" i="10" s="1"/>
  <c r="J29" i="10"/>
  <c r="I29" i="10"/>
  <c r="K29" i="10" s="1"/>
  <c r="H29" i="10"/>
  <c r="V28" i="10"/>
  <c r="N28" i="10"/>
  <c r="M28" i="10"/>
  <c r="L28" i="10"/>
  <c r="J28" i="10"/>
  <c r="I28" i="10"/>
  <c r="K28" i="10" s="1"/>
  <c r="H28" i="10"/>
  <c r="V27" i="10"/>
  <c r="M27" i="10"/>
  <c r="N27" i="10" s="1"/>
  <c r="L27" i="10"/>
  <c r="J27" i="10"/>
  <c r="K27" i="10" s="1"/>
  <c r="H27" i="10"/>
  <c r="V26" i="10"/>
  <c r="M26" i="10"/>
  <c r="L26" i="10"/>
  <c r="N26" i="10" s="1"/>
  <c r="J26" i="10"/>
  <c r="I26" i="10"/>
  <c r="K26" i="10" s="1"/>
  <c r="F26" i="10"/>
  <c r="H26" i="10" s="1"/>
  <c r="V25" i="10"/>
  <c r="M25" i="10"/>
  <c r="L25" i="10"/>
  <c r="J25" i="10"/>
  <c r="H25" i="10"/>
  <c r="V24" i="10"/>
  <c r="M24" i="10"/>
  <c r="L24" i="10"/>
  <c r="J24" i="10"/>
  <c r="K24" i="10" s="1"/>
  <c r="I24" i="10"/>
  <c r="H24" i="10"/>
  <c r="V23" i="10"/>
  <c r="M23" i="10"/>
  <c r="L23" i="10"/>
  <c r="N23" i="10" s="1"/>
  <c r="J23" i="10"/>
  <c r="K23" i="10" s="1"/>
  <c r="I23" i="10"/>
  <c r="F23" i="10"/>
  <c r="H23" i="10" s="1"/>
  <c r="V22" i="10"/>
  <c r="N22" i="10"/>
  <c r="M22" i="10"/>
  <c r="L22" i="10"/>
  <c r="J22" i="10"/>
  <c r="I22" i="10"/>
  <c r="K22" i="10" s="1"/>
  <c r="F22" i="10"/>
  <c r="H22" i="10" s="1"/>
  <c r="V21" i="10"/>
  <c r="V43" i="10" s="1"/>
  <c r="M21" i="10"/>
  <c r="N21" i="10" s="1"/>
  <c r="L21" i="10"/>
  <c r="K21" i="10"/>
  <c r="J21" i="10"/>
  <c r="I21" i="10"/>
  <c r="F21" i="10"/>
  <c r="H21" i="10" s="1"/>
  <c r="H17" i="10"/>
  <c r="K106" i="10" s="1"/>
  <c r="I16" i="10"/>
  <c r="D114" i="9"/>
  <c r="H101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4" i="9"/>
  <c r="H75" i="9" s="1"/>
  <c r="H70" i="9"/>
  <c r="H71" i="9" s="1"/>
  <c r="H66" i="9"/>
  <c r="H65" i="9"/>
  <c r="H64" i="9"/>
  <c r="M60" i="9"/>
  <c r="F60" i="9" s="1"/>
  <c r="H60" i="9" s="1"/>
  <c r="M59" i="9"/>
  <c r="H59" i="9"/>
  <c r="H55" i="9"/>
  <c r="H54" i="9"/>
  <c r="H53" i="9"/>
  <c r="M52" i="9"/>
  <c r="H52" i="9"/>
  <c r="F52" i="9"/>
  <c r="M51" i="9"/>
  <c r="H51" i="9"/>
  <c r="M50" i="9"/>
  <c r="H50" i="9"/>
  <c r="M49" i="9"/>
  <c r="H49" i="9"/>
  <c r="H56" i="9" s="1"/>
  <c r="V42" i="9"/>
  <c r="N42" i="9"/>
  <c r="L42" i="9"/>
  <c r="I42" i="9"/>
  <c r="K42" i="9" s="1"/>
  <c r="F42" i="9"/>
  <c r="H42" i="9" s="1"/>
  <c r="V41" i="9"/>
  <c r="L41" i="9"/>
  <c r="N41" i="9" s="1"/>
  <c r="I41" i="9"/>
  <c r="K41" i="9" s="1"/>
  <c r="F41" i="9"/>
  <c r="H41" i="9" s="1"/>
  <c r="V40" i="9"/>
  <c r="L40" i="9"/>
  <c r="N40" i="9" s="1"/>
  <c r="I40" i="9"/>
  <c r="K40" i="9" s="1"/>
  <c r="F40" i="9"/>
  <c r="H40" i="9" s="1"/>
  <c r="Z39" i="9"/>
  <c r="V39" i="9"/>
  <c r="N39" i="9"/>
  <c r="L39" i="9"/>
  <c r="I39" i="9"/>
  <c r="K39" i="9" s="1"/>
  <c r="F39" i="9"/>
  <c r="H39" i="9" s="1"/>
  <c r="M38" i="9"/>
  <c r="L38" i="9"/>
  <c r="N38" i="9" s="1"/>
  <c r="J38" i="9"/>
  <c r="K38" i="9" s="1"/>
  <c r="I38" i="9"/>
  <c r="H38" i="9"/>
  <c r="F38" i="9"/>
  <c r="V37" i="9"/>
  <c r="M37" i="9"/>
  <c r="L37" i="9"/>
  <c r="N37" i="9" s="1"/>
  <c r="J37" i="9"/>
  <c r="I37" i="9"/>
  <c r="K37" i="9" s="1"/>
  <c r="H37" i="9"/>
  <c r="V36" i="9"/>
  <c r="M36" i="9"/>
  <c r="L36" i="9"/>
  <c r="N36" i="9" s="1"/>
  <c r="J36" i="9"/>
  <c r="I36" i="9"/>
  <c r="K36" i="9" s="1"/>
  <c r="H36" i="9"/>
  <c r="V35" i="9"/>
  <c r="M35" i="9"/>
  <c r="L35" i="9"/>
  <c r="N35" i="9" s="1"/>
  <c r="K35" i="9"/>
  <c r="J35" i="9"/>
  <c r="I35" i="9"/>
  <c r="F35" i="9"/>
  <c r="H35" i="9" s="1"/>
  <c r="V34" i="9"/>
  <c r="F34" i="9" s="1"/>
  <c r="H34" i="9" s="1"/>
  <c r="M34" i="9"/>
  <c r="L34" i="9"/>
  <c r="N34" i="9" s="1"/>
  <c r="J34" i="9"/>
  <c r="I34" i="9"/>
  <c r="K34" i="9" s="1"/>
  <c r="V33" i="9"/>
  <c r="M33" i="9"/>
  <c r="L33" i="9"/>
  <c r="N33" i="9" s="1"/>
  <c r="J33" i="9"/>
  <c r="I33" i="9"/>
  <c r="K33" i="9" s="1"/>
  <c r="H33" i="9"/>
  <c r="V32" i="9"/>
  <c r="M32" i="9"/>
  <c r="N32" i="9" s="1"/>
  <c r="L32" i="9"/>
  <c r="K32" i="9"/>
  <c r="J32" i="9"/>
  <c r="I32" i="9"/>
  <c r="H32" i="9"/>
  <c r="V31" i="9"/>
  <c r="M31" i="9"/>
  <c r="L31" i="9"/>
  <c r="N31" i="9" s="1"/>
  <c r="J31" i="9"/>
  <c r="I31" i="9"/>
  <c r="K31" i="9" s="1"/>
  <c r="H31" i="9"/>
  <c r="V30" i="9"/>
  <c r="F30" i="9" s="1"/>
  <c r="H30" i="9" s="1"/>
  <c r="M30" i="9"/>
  <c r="L30" i="9"/>
  <c r="N30" i="9" s="1"/>
  <c r="J30" i="9"/>
  <c r="I30" i="9"/>
  <c r="K30" i="9" s="1"/>
  <c r="V29" i="9"/>
  <c r="F29" i="9" s="1"/>
  <c r="H29" i="9" s="1"/>
  <c r="N29" i="9"/>
  <c r="M29" i="9"/>
  <c r="L29" i="9"/>
  <c r="J29" i="9"/>
  <c r="I29" i="9"/>
  <c r="K29" i="9" s="1"/>
  <c r="V28" i="9"/>
  <c r="M28" i="9"/>
  <c r="L28" i="9"/>
  <c r="N28" i="9" s="1"/>
  <c r="K28" i="9"/>
  <c r="J28" i="9"/>
  <c r="I28" i="9"/>
  <c r="H28" i="9"/>
  <c r="V27" i="9"/>
  <c r="M27" i="9"/>
  <c r="L27" i="9"/>
  <c r="N27" i="9" s="1"/>
  <c r="J27" i="9"/>
  <c r="I27" i="9"/>
  <c r="K27" i="9" s="1"/>
  <c r="H27" i="9"/>
  <c r="V26" i="9"/>
  <c r="F26" i="9" s="1"/>
  <c r="H26" i="9" s="1"/>
  <c r="M26" i="9"/>
  <c r="L26" i="9"/>
  <c r="N26" i="9" s="1"/>
  <c r="J26" i="9"/>
  <c r="I26" i="9"/>
  <c r="K26" i="9" s="1"/>
  <c r="V25" i="9"/>
  <c r="F25" i="9" s="1"/>
  <c r="H25" i="9" s="1"/>
  <c r="M25" i="9"/>
  <c r="L25" i="9"/>
  <c r="N25" i="9" s="1"/>
  <c r="J25" i="9"/>
  <c r="I25" i="9"/>
  <c r="K25" i="9" s="1"/>
  <c r="V24" i="9"/>
  <c r="M24" i="9"/>
  <c r="L24" i="9"/>
  <c r="N24" i="9" s="1"/>
  <c r="J24" i="9"/>
  <c r="I24" i="9"/>
  <c r="K24" i="9" s="1"/>
  <c r="H24" i="9"/>
  <c r="V23" i="9"/>
  <c r="F23" i="9" s="1"/>
  <c r="H23" i="9" s="1"/>
  <c r="M23" i="9"/>
  <c r="L23" i="9"/>
  <c r="N23" i="9" s="1"/>
  <c r="J23" i="9"/>
  <c r="K23" i="9" s="1"/>
  <c r="I23" i="9"/>
  <c r="V22" i="9"/>
  <c r="F22" i="9" s="1"/>
  <c r="H22" i="9" s="1"/>
  <c r="N22" i="9"/>
  <c r="M22" i="9"/>
  <c r="L22" i="9"/>
  <c r="J22" i="9"/>
  <c r="I22" i="9"/>
  <c r="K22" i="9" s="1"/>
  <c r="K43" i="9" s="1"/>
  <c r="V21" i="9"/>
  <c r="M21" i="9"/>
  <c r="L21" i="9"/>
  <c r="N21" i="9" s="1"/>
  <c r="K21" i="9"/>
  <c r="J21" i="9"/>
  <c r="I21" i="9"/>
  <c r="F21" i="9"/>
  <c r="H21" i="9" s="1"/>
  <c r="H16" i="9"/>
  <c r="H15" i="9"/>
  <c r="H14" i="9"/>
  <c r="H13" i="9"/>
  <c r="H12" i="9"/>
  <c r="H11" i="9"/>
  <c r="H10" i="9"/>
  <c r="H9" i="9"/>
  <c r="F58" i="2" l="1"/>
  <c r="K32" i="13"/>
  <c r="K36" i="13"/>
  <c r="H99" i="13"/>
  <c r="V43" i="13"/>
  <c r="Z43" i="13" s="1"/>
  <c r="H56" i="13"/>
  <c r="K22" i="13"/>
  <c r="K43" i="13" s="1"/>
  <c r="N27" i="13"/>
  <c r="N43" i="13" s="1"/>
  <c r="N29" i="13"/>
  <c r="K35" i="13"/>
  <c r="N31" i="13"/>
  <c r="N35" i="13"/>
  <c r="H61" i="13"/>
  <c r="K28" i="13"/>
  <c r="N37" i="13"/>
  <c r="K33" i="12"/>
  <c r="N33" i="12"/>
  <c r="N43" i="12" s="1"/>
  <c r="H99" i="14"/>
  <c r="H99" i="10"/>
  <c r="K25" i="10"/>
  <c r="K43" i="10" s="1"/>
  <c r="N25" i="10"/>
  <c r="N24" i="10"/>
  <c r="F43" i="10"/>
  <c r="F43" i="11"/>
  <c r="Z43" i="11"/>
  <c r="K43" i="11"/>
  <c r="N43" i="9"/>
  <c r="N43" i="10"/>
  <c r="N43" i="11"/>
  <c r="K43" i="14"/>
  <c r="H43" i="11"/>
  <c r="N43" i="14"/>
  <c r="K43" i="12"/>
  <c r="H61" i="9"/>
  <c r="V43" i="9"/>
  <c r="F21" i="13"/>
  <c r="H21" i="13" s="1"/>
  <c r="H43" i="13" s="1"/>
  <c r="V43" i="12"/>
  <c r="V43" i="14"/>
  <c r="H43" i="12"/>
  <c r="H43" i="9"/>
  <c r="H43" i="10"/>
  <c r="H17" i="13"/>
  <c r="K106" i="13" s="1"/>
  <c r="H17" i="11"/>
  <c r="K106" i="11" s="1"/>
  <c r="H43" i="14"/>
  <c r="H17" i="9"/>
  <c r="K106" i="9" s="1"/>
  <c r="H44" i="13" l="1"/>
  <c r="F43" i="13"/>
  <c r="H44" i="14"/>
  <c r="K107" i="14" s="1"/>
  <c r="F43" i="12"/>
  <c r="Z43" i="12"/>
  <c r="Z43" i="9"/>
  <c r="F43" i="9"/>
  <c r="H44" i="9"/>
  <c r="K107" i="13"/>
  <c r="H45" i="13"/>
  <c r="H76" i="13" s="1"/>
  <c r="K108" i="13" s="1"/>
  <c r="K109" i="13" s="1"/>
  <c r="H44" i="11"/>
  <c r="H44" i="12"/>
  <c r="H44" i="10"/>
  <c r="Z43" i="14"/>
  <c r="F43" i="14"/>
  <c r="H45" i="14" l="1"/>
  <c r="H76" i="14" s="1"/>
  <c r="K108" i="14" s="1"/>
  <c r="K109" i="14" s="1"/>
  <c r="K107" i="10"/>
  <c r="H45" i="10"/>
  <c r="H76" i="10" s="1"/>
  <c r="H45" i="9"/>
  <c r="H76" i="9" s="1"/>
  <c r="H102" i="9" s="1"/>
  <c r="K107" i="9"/>
  <c r="K107" i="11"/>
  <c r="H45" i="11"/>
  <c r="H76" i="11" s="1"/>
  <c r="K107" i="12"/>
  <c r="H45" i="12"/>
  <c r="H76" i="12" s="1"/>
  <c r="H102" i="13"/>
  <c r="H103" i="13" s="1"/>
  <c r="H104" i="13" s="1"/>
  <c r="H102" i="14" l="1"/>
  <c r="H103" i="14" s="1"/>
  <c r="H104" i="14" s="1"/>
  <c r="H106" i="14" s="1"/>
  <c r="I106" i="14" s="1"/>
  <c r="H103" i="9"/>
  <c r="H104" i="9" s="1"/>
  <c r="H106" i="9" s="1"/>
  <c r="I106" i="9" s="1"/>
  <c r="H102" i="11"/>
  <c r="H103" i="11" s="1"/>
  <c r="H104" i="11" s="1"/>
  <c r="H106" i="11" s="1"/>
  <c r="I106" i="11" s="1"/>
  <c r="K108" i="11"/>
  <c r="K109" i="11" s="1"/>
  <c r="K108" i="9"/>
  <c r="K109" i="9" s="1"/>
  <c r="H102" i="10"/>
  <c r="H103" i="10" s="1"/>
  <c r="H104" i="10" s="1"/>
  <c r="H106" i="10" s="1"/>
  <c r="I106" i="10" s="1"/>
  <c r="K108" i="10"/>
  <c r="K109" i="10" s="1"/>
  <c r="H102" i="12"/>
  <c r="H103" i="12" s="1"/>
  <c r="H104" i="12" s="1"/>
  <c r="H106" i="12" s="1"/>
  <c r="I106" i="12" s="1"/>
  <c r="K108" i="12"/>
  <c r="K109" i="12" s="1"/>
  <c r="H106" i="13"/>
  <c r="I106" i="13" s="1"/>
  <c r="H107" i="14" l="1"/>
  <c r="H107" i="13"/>
  <c r="H107" i="12"/>
  <c r="H107" i="11"/>
  <c r="H107" i="10"/>
  <c r="H107" i="9"/>
  <c r="H108" i="9" s="1"/>
  <c r="H109" i="9" s="1"/>
  <c r="H108" i="14" l="1"/>
  <c r="H109" i="14" s="1"/>
  <c r="H108" i="13"/>
  <c r="H109" i="13" s="1"/>
  <c r="H108" i="12"/>
  <c r="H109" i="12" s="1"/>
  <c r="H108" i="11"/>
  <c r="H109" i="11" s="1"/>
  <c r="H108" i="10"/>
  <c r="H109" i="10" s="1"/>
  <c r="J110" i="9"/>
  <c r="L109" i="9"/>
  <c r="M109" i="9" s="1"/>
  <c r="J103" i="9" s="1"/>
  <c r="H110" i="10"/>
  <c r="H111" i="10" l="1"/>
  <c r="G18" i="2" s="1"/>
  <c r="J110" i="14"/>
  <c r="L109" i="14"/>
  <c r="M109" i="14" s="1"/>
  <c r="J110" i="13"/>
  <c r="L109" i="13"/>
  <c r="M109" i="13" s="1"/>
  <c r="H110" i="14"/>
  <c r="H111" i="14" s="1"/>
  <c r="G26" i="2" s="1"/>
  <c r="J110" i="12"/>
  <c r="L109" i="12"/>
  <c r="M109" i="12" s="1"/>
  <c r="J110" i="11"/>
  <c r="L109" i="11"/>
  <c r="M109" i="11" s="1"/>
  <c r="H110" i="12"/>
  <c r="H111" i="12" s="1"/>
  <c r="G37" i="2" s="1"/>
  <c r="J110" i="10"/>
  <c r="L109" i="10"/>
  <c r="M109" i="10" s="1"/>
  <c r="I103" i="9"/>
  <c r="I103" i="14" l="1"/>
  <c r="J103" i="14"/>
  <c r="I103" i="13"/>
  <c r="J103" i="13"/>
  <c r="I103" i="12"/>
  <c r="J103" i="12"/>
  <c r="I103" i="11"/>
  <c r="J103" i="11"/>
  <c r="I103" i="10"/>
  <c r="J103" i="10"/>
</calcChain>
</file>

<file path=xl/sharedStrings.xml><?xml version="1.0" encoding="utf-8"?>
<sst xmlns="http://schemas.openxmlformats.org/spreadsheetml/2006/main" count="4644" uniqueCount="229">
  <si>
    <t>www.immee.com.mx</t>
  </si>
  <si>
    <t xml:space="preserve">                                 Apoyando el consumo inteligente de energía eléctrica </t>
  </si>
  <si>
    <t>Presente</t>
  </si>
  <si>
    <t>IMPORTE</t>
  </si>
  <si>
    <t xml:space="preserve">SUBTOTAL: </t>
  </si>
  <si>
    <t>CONDICIONES TÉCNICO-COMERCIALES:</t>
  </si>
  <si>
    <t>Atentamente:</t>
  </si>
  <si>
    <t>Ing. José Esteban Garcia Monrroy.</t>
  </si>
  <si>
    <t>Gerencia Técnica.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</si>
  <si>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</si>
  <si>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</si>
  <si>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</si>
  <si>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</si>
  <si>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</si>
  <si>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</si>
  <si>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</si>
  <si>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</si>
  <si>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</si>
  <si>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</si>
  <si>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</si>
  <si>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HR NORMAL</t>
  </si>
  <si>
    <t>HR DOBLE</t>
  </si>
  <si>
    <t>HR TRIPLE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</si>
  <si>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</si>
  <si>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</si>
  <si>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</si>
  <si>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</si>
  <si>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</si>
  <si>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</si>
  <si>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Dom, ó Fest.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</si>
  <si>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</si>
  <si>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</si>
  <si>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</si>
  <si>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</si>
  <si>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</si>
  <si>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</si>
  <si>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</si>
  <si>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</si>
  <si>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</si>
  <si>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</si>
  <si>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</si>
  <si>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</si>
  <si>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</si>
  <si>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</si>
  <si>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Fco, Oropeza</t>
  </si>
  <si>
    <t>TECNICO DE PRUEBAS ELECTRICAS</t>
  </si>
  <si>
    <t>CABO OBRA ELECTRICA</t>
  </si>
  <si>
    <t>LINIERO</t>
  </si>
  <si>
    <t>josé - adrian</t>
  </si>
  <si>
    <t xml:space="preserve">ESPECIALISTA ELECTRICO </t>
  </si>
  <si>
    <t>TECNICO EN INSTRUMENTACION</t>
  </si>
  <si>
    <t>OFICIAL ELECTRICO</t>
  </si>
  <si>
    <t>ASISTENTE DE DISEÑO</t>
  </si>
  <si>
    <t>ELECTRICISTA -B</t>
  </si>
  <si>
    <r>
      <t>Uno con categoría de: Alan/</t>
    </r>
    <r>
      <rPr>
        <b/>
        <sz val="12"/>
        <color rgb="FFFF0000"/>
        <rFont val="Calibri"/>
        <family val="2"/>
      </rPr>
      <t>Eduardo</t>
    </r>
  </si>
  <si>
    <t>ELECTRICISTA -A</t>
  </si>
  <si>
    <t>AUXILIAR TECNICO</t>
  </si>
  <si>
    <t>AYTE ELECTRICO - B</t>
  </si>
  <si>
    <t>AYTE DE ELECTR.  -A</t>
  </si>
  <si>
    <t>AYTE GENERAL</t>
  </si>
  <si>
    <t>Guadalupe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</si>
  <si>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</si>
  <si>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</si>
  <si>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</si>
  <si>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</si>
  <si>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</si>
  <si>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</si>
  <si>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</si>
  <si>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</si>
  <si>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</si>
  <si>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</si>
  <si>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</si>
  <si>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</si>
  <si>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</si>
  <si>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</si>
  <si>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camioneta RANGER sin operador sin combustible</t>
  </si>
  <si>
    <t>HR</t>
  </si>
  <si>
    <t>camioneta NISSAN  sin operador sin combustible</t>
  </si>
  <si>
    <t>camioneta TORNADO  Tornado sin operador sin combustible</t>
  </si>
  <si>
    <t>Camion con grua sin operador sin conbustible.</t>
  </si>
  <si>
    <t>Camion con grua con operador con conbustible.</t>
  </si>
  <si>
    <t xml:space="preserve">autobus 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</si>
  <si>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</si>
  <si>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</si>
  <si>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</si>
  <si>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</si>
  <si>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</si>
  <si>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</si>
  <si>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</si>
  <si>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</si>
  <si>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</si>
  <si>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</si>
  <si>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</si>
  <si>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</si>
  <si>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</si>
  <si>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 xml:space="preserve">camioneta pick up 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</si>
  <si>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</si>
  <si>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</si>
  <si>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</si>
  <si>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</si>
  <si>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</si>
  <si>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</si>
  <si>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</si>
  <si>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</si>
  <si>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</si>
  <si>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</si>
  <si>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</si>
  <si>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</si>
  <si>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</si>
  <si>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</si>
  <si>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</si>
  <si>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</si>
  <si>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</si>
  <si>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</si>
  <si>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</si>
  <si>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</si>
  <si>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</si>
  <si>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</si>
  <si>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</si>
  <si>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</si>
  <si>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</si>
  <si>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</si>
  <si>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</si>
  <si>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</si>
  <si>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</si>
  <si>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</si>
  <si>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</si>
  <si>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</si>
  <si>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</si>
  <si>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</si>
  <si>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</si>
  <si>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</si>
  <si>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% DE IMP.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</si>
  <si>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</si>
  <si>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</si>
  <si>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</si>
  <si>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</si>
  <si>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</si>
  <si>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</si>
  <si>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</si>
  <si>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</si>
  <si>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</si>
  <si>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</si>
  <si>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</si>
  <si>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IMP. 32%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</si>
  <si>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</si>
  <si>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</si>
  <si>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</si>
  <si>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</si>
  <si>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</si>
  <si>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</si>
  <si>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</si>
  <si>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</si>
  <si>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3.- Al importe se le aplicará el impuesto IVA al facturar.</t>
  </si>
  <si>
    <t>5.- Precios en moneda nacional.</t>
  </si>
  <si>
    <t>4.- Vigencia de la cotización: 30 dias del calendario.</t>
  </si>
  <si>
    <t>Prueba de resistencia de contactos</t>
  </si>
  <si>
    <t>Prueba de Factor potencia</t>
  </si>
  <si>
    <t>Prueba de Collar Caliente</t>
  </si>
  <si>
    <t>Prueba de punto de rocío</t>
  </si>
  <si>
    <t>Prueba de Simultaneidad de contactos</t>
  </si>
  <si>
    <t>Pruebas de transformadores tipo bushing (integrados)
saturación, polaridad, relación y resistencia Ohmica.</t>
  </si>
  <si>
    <t>Prueba de resistencia de aislamiento</t>
  </si>
  <si>
    <t>Pba</t>
  </si>
  <si>
    <t>Factor de potencia devanados</t>
  </si>
  <si>
    <t>Resistencia Ohmica</t>
  </si>
  <si>
    <t>Análisis Físico-Químicos al aceite de transformador</t>
  </si>
  <si>
    <t>Cromatografía de gases disueltos al aceite de transformador</t>
  </si>
  <si>
    <t>Serv</t>
  </si>
  <si>
    <t>Limpieza de celdas</t>
  </si>
  <si>
    <t>Interruptores de baja tensión</t>
  </si>
  <si>
    <t>Resistencia de aislamiento</t>
  </si>
  <si>
    <t>Resistencia de contacto</t>
  </si>
  <si>
    <t>Simultaneidad de contactos</t>
  </si>
  <si>
    <t>Verificación Y reposición de nivel del banco de batería</t>
  </si>
  <si>
    <t>Pruebas de Voltaje y densidad del banco de bateria.</t>
  </si>
  <si>
    <t>Verificación y operación de las protecciones en 115 y 13.8 kv</t>
  </si>
  <si>
    <t>Termografías antes y después de MTTO en subestación reductora</t>
  </si>
  <si>
    <t>FQ</t>
  </si>
  <si>
    <t>CM GASES</t>
  </si>
  <si>
    <t>PCB´S</t>
  </si>
  <si>
    <t>TRASLADOS DE PERSONAL Y MAQUINARIA AL SITIO</t>
  </si>
  <si>
    <t>Traslado de personal y maquinaria al sitio de trabajo el dÍa de la libranza</t>
  </si>
  <si>
    <t>Prueba de resistencia de aislamiento (megger)</t>
  </si>
  <si>
    <t xml:space="preserve">1.- Plazo de ejecución: 1  larga Jornada. </t>
  </si>
  <si>
    <t>2.- Condiciones economicas:  50%  al fincar  la orden de servicio y 100% contra entrega de reporte .</t>
  </si>
  <si>
    <t>Ing. J. Eleazar Ramirez Caudillo</t>
  </si>
  <si>
    <t>MANTENIMIENTO A INTERRUPTOR SF6 DE 115KV TANQUE MUERTO PDS 72010.</t>
  </si>
  <si>
    <t>MATENIMIENTO A CUCHILLAS CON O SIN PUESTA A TIERRA.</t>
  </si>
  <si>
    <t>MANTENIMIENTO A TRANSFORMADOR DPS T1 DE 15MVA (PRUEBAS DE LABORATORIO Y AISLAMIENTO).</t>
  </si>
  <si>
    <t>VERIFICACION Y PRUEBAS DE OPERACIÓN DE LAS PROTECCIONES 115KV Y 13,8KV.</t>
  </si>
  <si>
    <t>MANTENIMIENTO A SISTEMA DE TIERRAS Y PARARAYOS (PRUEBAS-MEDICIONES).</t>
  </si>
  <si>
    <t>MANTENIMIENTO A TABLEROS EN GENERAL (METAL CLAD: 6 CELDAS, INTERRUPTORES Y MODULO DE ALARMAS).</t>
  </si>
  <si>
    <t>MANTENIMIENTO A SISTEMA DE RESPALDO DE BATERIAS (BANCO DE BATERIAS Y RECTIFICADOR)</t>
  </si>
  <si>
    <t>Modulo de alarmas</t>
  </si>
  <si>
    <t>TERMOGRAFIA ANTES Y DESPUES DEL MANTENIMIENTO.</t>
  </si>
  <si>
    <t>COT. IMM-033-025</t>
  </si>
  <si>
    <t xml:space="preserve"> *Reemplazo de deposito de pruebas (recipiente de plastico quebrado).</t>
  </si>
  <si>
    <t xml:space="preserve">CROMATOGRAFIA DE GASES </t>
  </si>
  <si>
    <t>BPC`s</t>
  </si>
  <si>
    <t xml:space="preserve">FQ </t>
  </si>
  <si>
    <t xml:space="preserve">JERINGA </t>
  </si>
  <si>
    <t xml:space="preserve">Camara Termografica </t>
  </si>
  <si>
    <t>consumibles</t>
  </si>
  <si>
    <t>Solvente Dielectrico</t>
  </si>
  <si>
    <t>Trapo</t>
  </si>
  <si>
    <t>kg</t>
  </si>
  <si>
    <t xml:space="preserve">Cepillo de alambre </t>
  </si>
  <si>
    <t>Fibra scoch</t>
  </si>
  <si>
    <t>Gasolina</t>
  </si>
  <si>
    <t xml:space="preserve">consumibles </t>
  </si>
  <si>
    <t>serv</t>
  </si>
  <si>
    <t>Limpieza de aislamiento a columnas de aisladores</t>
  </si>
  <si>
    <t>Relación de transformación en el tap nominal.</t>
  </si>
  <si>
    <t>RECIPIENTE DE MUESTREO</t>
  </si>
  <si>
    <t>Medición de sistema de tierras de la S.E. principal, se consideran 30 puntos.</t>
  </si>
  <si>
    <t>Servicio de termografia</t>
  </si>
  <si>
    <t>TERMOGRAFIA</t>
  </si>
  <si>
    <t xml:space="preserve">no se cotiza por no tener medidas </t>
  </si>
  <si>
    <t>Calle Aquiles Serdán S/N</t>
  </si>
  <si>
    <t>C. P. 42820, Michimaloya Centro, Tula de Allende Hgo.</t>
  </si>
  <si>
    <t>Oficina +52 (773) 7240055</t>
  </si>
  <si>
    <t>immee_013@hotmail.com</t>
  </si>
  <si>
    <t>pba</t>
  </si>
  <si>
    <t>PERSA Transmision y distribucion.</t>
  </si>
  <si>
    <t xml:space="preserve"> Michimaloya, Hidalgo a 28 de Enero de 2025.</t>
  </si>
  <si>
    <t xml:space="preserve">6.- Todos equipos de prueba se encuentran calibrados </t>
  </si>
  <si>
    <r>
      <t xml:space="preserve">Atendiendo a su amable solicitud, le presentamos a su consideración el presupuesto por el servicio de </t>
    </r>
    <r>
      <rPr>
        <b/>
        <sz val="14"/>
        <rFont val="Arial"/>
        <family val="2"/>
      </rPr>
      <t xml:space="preserve">"MANTENIMIENTO PREVENTIVO Y CORRECTIVO A EQUIPOS EN SUBESTACIÓN REDUCTORA 115 A 13.8. RAMOS ARIZPE COAHUILA. " </t>
    </r>
    <r>
      <rPr>
        <sz val="14"/>
        <rFont val="Arial"/>
        <family val="2"/>
      </rPr>
      <t>en base al siguiente alcance.</t>
    </r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</si>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</sst>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_(&quot;$&quot;* #,##0.00_);_(&quot;$&quot;* \(#,##0.00\);_(&quot;$&quot;* &quot;-&quot;??_);_(@_)"/>
    <numFmt numFmtId="168" formatCode="[$$-80A]#,##0.00"/>
    <numFmt numFmtId="169" formatCode="0.0000"/>
    <numFmt numFmtId="170" formatCode="0.0"/>
    <numFmt numFmtId="171" formatCode="_(* #,##0.00_);_(* \(#,##0.00\);_(* &quot;-&quot;??_);_(@_)"/>
    <numFmt numFmtId="172" formatCode="0.0%"/>
    <numFmt numFmtId="173" formatCode="0.000"/>
    <numFmt numFmtId="174" formatCode="_-[$$-80A]* #,##0.00_-;\-[$$-80A]* #,##0.00_-;_-[$$-80A]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rgb="FF3F3F3F"/>
      <name val="Arial"/>
      <family val="2"/>
    </font>
    <font>
      <sz val="13"/>
      <name val="Calibri Light"/>
      <family val="1"/>
      <scheme val="major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4"/>
      <color indexed="2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rgb="FF002060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6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3" applyFont="1"/>
    <xf numFmtId="0" fontId="4" fillId="0" borderId="0" xfId="0" applyFont="1" applyAlignment="1">
      <alignment wrapText="1"/>
    </xf>
    <xf numFmtId="0" fontId="3" fillId="3" borderId="0" xfId="0" applyFont="1" applyFill="1"/>
    <xf numFmtId="166" fontId="3" fillId="0" borderId="0" xfId="4" applyNumberFormat="1" applyFont="1"/>
    <xf numFmtId="0" fontId="9" fillId="0" borderId="0" xfId="3" applyFont="1"/>
    <xf numFmtId="0" fontId="10" fillId="0" borderId="0" xfId="3" applyFont="1"/>
    <xf numFmtId="0" fontId="6" fillId="0" borderId="0" xfId="3"/>
    <xf numFmtId="0" fontId="11" fillId="0" borderId="0" xfId="0" applyFont="1"/>
    <xf numFmtId="0" fontId="12" fillId="0" borderId="0" xfId="3" applyFont="1"/>
    <xf numFmtId="0" fontId="11" fillId="0" borderId="0" xfId="3" applyFont="1"/>
    <xf numFmtId="0" fontId="8" fillId="0" borderId="0" xfId="3" applyFont="1"/>
    <xf numFmtId="0" fontId="11" fillId="0" borderId="0" xfId="0" applyFont="1" applyAlignment="1">
      <alignment vertical="center"/>
    </xf>
    <xf numFmtId="0" fontId="13" fillId="0" borderId="0" xfId="3" applyFont="1"/>
    <xf numFmtId="0" fontId="14" fillId="0" borderId="0" xfId="3" applyFont="1"/>
    <xf numFmtId="0" fontId="16" fillId="0" borderId="0" xfId="3" applyFont="1" applyAlignment="1">
      <alignment horizontal="center"/>
    </xf>
    <xf numFmtId="0" fontId="17" fillId="0" borderId="0" xfId="3" applyFont="1"/>
    <xf numFmtId="0" fontId="18" fillId="0" borderId="0" xfId="3" applyFont="1"/>
    <xf numFmtId="0" fontId="18" fillId="3" borderId="0" xfId="3" applyFont="1" applyFill="1"/>
    <xf numFmtId="0" fontId="19" fillId="3" borderId="0" xfId="3" applyFont="1" applyFill="1"/>
    <xf numFmtId="2" fontId="16" fillId="0" borderId="0" xfId="3" applyNumberFormat="1" applyFont="1" applyAlignment="1">
      <alignment horizontal="center"/>
    </xf>
    <xf numFmtId="0" fontId="20" fillId="3" borderId="6" xfId="3" applyFont="1" applyFill="1" applyBorder="1" applyAlignment="1">
      <alignment horizontal="center"/>
    </xf>
    <xf numFmtId="2" fontId="20" fillId="3" borderId="6" xfId="3" applyNumberFormat="1" applyFont="1" applyFill="1" applyBorder="1" applyAlignment="1">
      <alignment horizontal="center"/>
    </xf>
    <xf numFmtId="2" fontId="20" fillId="0" borderId="6" xfId="3" applyNumberFormat="1" applyFont="1" applyBorder="1" applyAlignment="1">
      <alignment horizontal="center"/>
    </xf>
    <xf numFmtId="0" fontId="17" fillId="0" borderId="0" xfId="3" applyFont="1" applyAlignment="1">
      <alignment horizontal="center" vertical="center"/>
    </xf>
    <xf numFmtId="2" fontId="20" fillId="0" borderId="0" xfId="3" applyNumberFormat="1" applyFont="1" applyAlignment="1">
      <alignment horizontal="center"/>
    </xf>
    <xf numFmtId="2" fontId="16" fillId="7" borderId="6" xfId="3" applyNumberFormat="1" applyFont="1" applyFill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6" fillId="0" borderId="0" xfId="3" applyFont="1"/>
    <xf numFmtId="2" fontId="17" fillId="0" borderId="0" xfId="3" applyNumberFormat="1" applyFont="1" applyAlignment="1">
      <alignment horizontal="center"/>
    </xf>
    <xf numFmtId="0" fontId="21" fillId="0" borderId="0" xfId="3" applyFont="1"/>
    <xf numFmtId="0" fontId="19" fillId="0" borderId="0" xfId="3" applyFont="1"/>
    <xf numFmtId="0" fontId="20" fillId="3" borderId="0" xfId="3" applyFont="1" applyFill="1"/>
    <xf numFmtId="169" fontId="16" fillId="3" borderId="0" xfId="3" applyNumberFormat="1" applyFont="1" applyFill="1" applyAlignment="1">
      <alignment horizontal="center"/>
    </xf>
    <xf numFmtId="2" fontId="16" fillId="3" borderId="0" xfId="3" applyNumberFormat="1" applyFont="1" applyFill="1" applyAlignment="1">
      <alignment horizontal="center" vertical="center"/>
    </xf>
    <xf numFmtId="0" fontId="22" fillId="3" borderId="0" xfId="3" applyFont="1" applyFill="1"/>
    <xf numFmtId="0" fontId="16" fillId="7" borderId="6" xfId="3" applyFont="1" applyFill="1" applyBorder="1" applyAlignment="1">
      <alignment horizontal="center" vertical="center" wrapText="1"/>
    </xf>
    <xf numFmtId="2" fontId="16" fillId="3" borderId="10" xfId="3" applyNumberFormat="1" applyFont="1" applyFill="1" applyBorder="1" applyAlignment="1">
      <alignment horizontal="center"/>
    </xf>
    <xf numFmtId="2" fontId="16" fillId="3" borderId="6" xfId="3" applyNumberFormat="1" applyFont="1" applyFill="1" applyBorder="1" applyAlignment="1">
      <alignment horizontal="center" vertical="center"/>
    </xf>
    <xf numFmtId="2" fontId="16" fillId="3" borderId="6" xfId="3" applyNumberFormat="1" applyFont="1" applyFill="1" applyBorder="1" applyAlignment="1">
      <alignment horizontal="center"/>
    </xf>
    <xf numFmtId="0" fontId="20" fillId="3" borderId="6" xfId="3" applyFont="1" applyFill="1" applyBorder="1" applyAlignment="1">
      <alignment horizontal="center" vertical="center" wrapText="1"/>
    </xf>
    <xf numFmtId="0" fontId="17" fillId="3" borderId="0" xfId="3" applyFont="1" applyFill="1"/>
    <xf numFmtId="0" fontId="17" fillId="3" borderId="0" xfId="3" applyFont="1" applyFill="1" applyAlignment="1">
      <alignment horizontal="center"/>
    </xf>
    <xf numFmtId="2" fontId="16" fillId="8" borderId="6" xfId="3" applyNumberFormat="1" applyFont="1" applyFill="1" applyBorder="1" applyAlignment="1">
      <alignment horizontal="center"/>
    </xf>
    <xf numFmtId="2" fontId="16" fillId="8" borderId="10" xfId="3" applyNumberFormat="1" applyFont="1" applyFill="1" applyBorder="1" applyAlignment="1">
      <alignment horizontal="center"/>
    </xf>
    <xf numFmtId="2" fontId="16" fillId="8" borderId="6" xfId="3" applyNumberFormat="1" applyFont="1" applyFill="1" applyBorder="1" applyAlignment="1">
      <alignment horizontal="center" vertical="center"/>
    </xf>
    <xf numFmtId="0" fontId="20" fillId="8" borderId="6" xfId="3" applyFont="1" applyFill="1" applyBorder="1" applyAlignment="1">
      <alignment horizontal="center" vertical="center" wrapText="1"/>
    </xf>
    <xf numFmtId="0" fontId="17" fillId="8" borderId="0" xfId="3" applyFont="1" applyFill="1"/>
    <xf numFmtId="0" fontId="17" fillId="8" borderId="0" xfId="3" applyFont="1" applyFill="1" applyAlignment="1">
      <alignment horizontal="center"/>
    </xf>
    <xf numFmtId="0" fontId="19" fillId="3" borderId="6" xfId="3" applyFont="1" applyFill="1" applyBorder="1" applyAlignment="1">
      <alignment horizontal="center" vertical="center" wrapText="1"/>
    </xf>
    <xf numFmtId="0" fontId="19" fillId="8" borderId="6" xfId="3" applyFont="1" applyFill="1" applyBorder="1" applyAlignment="1">
      <alignment horizontal="center" vertical="center" wrapText="1"/>
    </xf>
    <xf numFmtId="0" fontId="20" fillId="9" borderId="6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/>
    </xf>
    <xf numFmtId="0" fontId="18" fillId="3" borderId="6" xfId="3" applyFont="1" applyFill="1" applyBorder="1" applyAlignment="1">
      <alignment horizontal="center"/>
    </xf>
    <xf numFmtId="2" fontId="18" fillId="3" borderId="6" xfId="3" applyNumberFormat="1" applyFont="1" applyFill="1" applyBorder="1" applyAlignment="1">
      <alignment horizontal="center"/>
    </xf>
    <xf numFmtId="2" fontId="18" fillId="3" borderId="6" xfId="3" applyNumberFormat="1" applyFont="1" applyFill="1" applyBorder="1" applyAlignment="1">
      <alignment horizontal="center" vertical="center"/>
    </xf>
    <xf numFmtId="0" fontId="20" fillId="0" borderId="0" xfId="3" applyFont="1"/>
    <xf numFmtId="165" fontId="16" fillId="7" borderId="6" xfId="4" applyFont="1" applyFill="1" applyBorder="1" applyAlignment="1">
      <alignment horizontal="center"/>
    </xf>
    <xf numFmtId="2" fontId="16" fillId="0" borderId="6" xfId="3" applyNumberFormat="1" applyFont="1" applyBorder="1" applyAlignment="1">
      <alignment horizontal="center"/>
    </xf>
    <xf numFmtId="0" fontId="20" fillId="0" borderId="6" xfId="3" applyFont="1" applyBorder="1"/>
    <xf numFmtId="0" fontId="20" fillId="7" borderId="6" xfId="3" applyFont="1" applyFill="1" applyBorder="1" applyAlignment="1">
      <alignment horizontal="center" vertical="center"/>
    </xf>
    <xf numFmtId="2" fontId="16" fillId="3" borderId="0" xfId="3" applyNumberFormat="1" applyFont="1" applyFill="1" applyAlignment="1">
      <alignment horizontal="center"/>
    </xf>
    <xf numFmtId="0" fontId="20" fillId="3" borderId="0" xfId="3" applyFont="1" applyFill="1" applyAlignment="1">
      <alignment horizontal="center" vertical="center"/>
    </xf>
    <xf numFmtId="0" fontId="20" fillId="7" borderId="7" xfId="3" applyFont="1" applyFill="1" applyBorder="1"/>
    <xf numFmtId="0" fontId="20" fillId="7" borderId="9" xfId="3" applyFont="1" applyFill="1" applyBorder="1"/>
    <xf numFmtId="9" fontId="16" fillId="7" borderId="6" xfId="3" applyNumberFormat="1" applyFont="1" applyFill="1" applyBorder="1" applyAlignment="1">
      <alignment horizontal="center"/>
    </xf>
    <xf numFmtId="0" fontId="16" fillId="3" borderId="0" xfId="3" applyFont="1" applyFill="1"/>
    <xf numFmtId="0" fontId="16" fillId="10" borderId="9" xfId="3" applyFont="1" applyFill="1" applyBorder="1" applyAlignment="1">
      <alignment horizontal="center"/>
    </xf>
    <xf numFmtId="0" fontId="17" fillId="3" borderId="6" xfId="3" applyFont="1" applyFill="1" applyBorder="1" applyAlignment="1">
      <alignment horizontal="center"/>
    </xf>
    <xf numFmtId="2" fontId="17" fillId="3" borderId="6" xfId="3" applyNumberFormat="1" applyFont="1" applyFill="1" applyBorder="1" applyAlignment="1">
      <alignment horizontal="center"/>
    </xf>
    <xf numFmtId="2" fontId="17" fillId="3" borderId="0" xfId="3" applyNumberFormat="1" applyFont="1" applyFill="1" applyAlignment="1">
      <alignment horizontal="center"/>
    </xf>
    <xf numFmtId="0" fontId="17" fillId="3" borderId="6" xfId="3" applyFont="1" applyFill="1" applyBorder="1" applyAlignment="1">
      <alignment horizontal="center" vertical="center"/>
    </xf>
    <xf numFmtId="0" fontId="17" fillId="0" borderId="6" xfId="3" applyFont="1" applyBorder="1" applyAlignment="1">
      <alignment horizontal="center"/>
    </xf>
    <xf numFmtId="2" fontId="17" fillId="0" borderId="6" xfId="3" applyNumberFormat="1" applyFont="1" applyBorder="1" applyAlignment="1">
      <alignment horizontal="center"/>
    </xf>
    <xf numFmtId="2" fontId="16" fillId="10" borderId="6" xfId="3" applyNumberFormat="1" applyFont="1" applyFill="1" applyBorder="1" applyAlignment="1">
      <alignment horizontal="center"/>
    </xf>
    <xf numFmtId="0" fontId="16" fillId="10" borderId="0" xfId="3" applyFont="1" applyFill="1"/>
    <xf numFmtId="0" fontId="20" fillId="10" borderId="6" xfId="3" applyFont="1" applyFill="1" applyBorder="1" applyAlignment="1">
      <alignment horizontal="center" vertical="center"/>
    </xf>
    <xf numFmtId="170" fontId="17" fillId="3" borderId="6" xfId="3" applyNumberFormat="1" applyFont="1" applyFill="1" applyBorder="1" applyAlignment="1">
      <alignment horizontal="center"/>
    </xf>
    <xf numFmtId="0" fontId="17" fillId="0" borderId="6" xfId="3" applyFont="1" applyBorder="1" applyAlignment="1">
      <alignment horizontal="center" vertical="center"/>
    </xf>
    <xf numFmtId="0" fontId="16" fillId="3" borderId="0" xfId="3" applyFont="1" applyFill="1" applyAlignment="1">
      <alignment horizontal="left"/>
    </xf>
    <xf numFmtId="0" fontId="16" fillId="3" borderId="0" xfId="3" applyFont="1" applyFill="1" applyAlignment="1">
      <alignment horizontal="center"/>
    </xf>
    <xf numFmtId="165" fontId="17" fillId="0" borderId="0" xfId="4" applyFont="1" applyAlignment="1">
      <alignment horizontal="center"/>
    </xf>
    <xf numFmtId="0" fontId="20" fillId="0" borderId="6" xfId="3" applyFont="1" applyBorder="1" applyAlignment="1">
      <alignment horizontal="center" vertical="center"/>
    </xf>
    <xf numFmtId="2" fontId="20" fillId="0" borderId="0" xfId="3" applyNumberFormat="1" applyFont="1" applyAlignment="1">
      <alignment horizontal="right"/>
    </xf>
    <xf numFmtId="0" fontId="17" fillId="0" borderId="0" xfId="3" applyFont="1" applyAlignment="1">
      <alignment horizontal="right"/>
    </xf>
    <xf numFmtId="171" fontId="17" fillId="0" borderId="0" xfId="3" applyNumberFormat="1" applyFont="1"/>
    <xf numFmtId="2" fontId="17" fillId="0" borderId="0" xfId="3" applyNumberFormat="1" applyFont="1"/>
    <xf numFmtId="0" fontId="20" fillId="3" borderId="0" xfId="3" applyFont="1" applyFill="1" applyAlignment="1">
      <alignment horizontal="right"/>
    </xf>
    <xf numFmtId="0" fontId="16" fillId="9" borderId="9" xfId="3" applyFont="1" applyFill="1" applyBorder="1" applyAlignment="1">
      <alignment horizontal="center"/>
    </xf>
    <xf numFmtId="0" fontId="16" fillId="9" borderId="7" xfId="3" applyFont="1" applyFill="1" applyBorder="1" applyAlignment="1">
      <alignment horizontal="center"/>
    </xf>
    <xf numFmtId="1" fontId="16" fillId="0" borderId="11" xfId="3" applyNumberFormat="1" applyFont="1" applyBorder="1" applyAlignment="1">
      <alignment horizontal="center"/>
    </xf>
    <xf numFmtId="0" fontId="16" fillId="3" borderId="11" xfId="3" applyFont="1" applyFill="1" applyBorder="1" applyAlignment="1">
      <alignment horizontal="center"/>
    </xf>
    <xf numFmtId="0" fontId="20" fillId="3" borderId="0" xfId="3" applyFont="1" applyFill="1" applyAlignment="1">
      <alignment horizontal="left"/>
    </xf>
    <xf numFmtId="1" fontId="17" fillId="0" borderId="7" xfId="3" applyNumberFormat="1" applyFont="1" applyBorder="1" applyAlignment="1">
      <alignment horizontal="center"/>
    </xf>
    <xf numFmtId="2" fontId="17" fillId="0" borderId="11" xfId="3" applyNumberFormat="1" applyFont="1" applyBorder="1" applyAlignment="1">
      <alignment horizontal="center" vertical="center"/>
    </xf>
    <xf numFmtId="1" fontId="23" fillId="3" borderId="11" xfId="3" applyNumberFormat="1" applyFont="1" applyFill="1" applyBorder="1" applyAlignment="1">
      <alignment horizontal="center" vertical="center"/>
    </xf>
    <xf numFmtId="1" fontId="16" fillId="3" borderId="11" xfId="3" applyNumberFormat="1" applyFont="1" applyFill="1" applyBorder="1" applyAlignment="1">
      <alignment horizontal="center" vertical="center"/>
    </xf>
    <xf numFmtId="0" fontId="20" fillId="11" borderId="6" xfId="3" applyFont="1" applyFill="1" applyBorder="1" applyAlignment="1">
      <alignment horizontal="center"/>
    </xf>
    <xf numFmtId="0" fontId="17" fillId="11" borderId="6" xfId="3" applyFont="1" applyFill="1" applyBorder="1" applyAlignment="1">
      <alignment horizontal="center"/>
    </xf>
    <xf numFmtId="0" fontId="17" fillId="11" borderId="6" xfId="3" applyFont="1" applyFill="1" applyBorder="1" applyAlignment="1">
      <alignment horizontal="center" vertical="center"/>
    </xf>
    <xf numFmtId="1" fontId="17" fillId="11" borderId="7" xfId="3" applyNumberFormat="1" applyFont="1" applyFill="1" applyBorder="1" applyAlignment="1">
      <alignment horizontal="center"/>
    </xf>
    <xf numFmtId="2" fontId="17" fillId="3" borderId="11" xfId="3" applyNumberFormat="1" applyFont="1" applyFill="1" applyBorder="1" applyAlignment="1">
      <alignment horizontal="center" vertical="center"/>
    </xf>
    <xf numFmtId="0" fontId="17" fillId="0" borderId="11" xfId="3" applyFont="1" applyBorder="1" applyAlignment="1">
      <alignment horizontal="center"/>
    </xf>
    <xf numFmtId="1" fontId="17" fillId="3" borderId="7" xfId="3" applyNumberFormat="1" applyFont="1" applyFill="1" applyBorder="1" applyAlignment="1">
      <alignment horizontal="center"/>
    </xf>
    <xf numFmtId="0" fontId="17" fillId="3" borderId="11" xfId="3" applyFont="1" applyFill="1" applyBorder="1" applyAlignment="1">
      <alignment horizontal="center"/>
    </xf>
    <xf numFmtId="2" fontId="17" fillId="3" borderId="0" xfId="3" applyNumberFormat="1" applyFont="1" applyFill="1"/>
    <xf numFmtId="0" fontId="16" fillId="0" borderId="6" xfId="3" applyFont="1" applyBorder="1" applyAlignment="1">
      <alignment horizontal="center"/>
    </xf>
    <xf numFmtId="0" fontId="17" fillId="0" borderId="11" xfId="3" applyFont="1" applyBorder="1" applyAlignment="1">
      <alignment horizontal="left"/>
    </xf>
    <xf numFmtId="2" fontId="17" fillId="0" borderId="12" xfId="3" applyNumberFormat="1" applyFont="1" applyBorder="1" applyAlignment="1">
      <alignment horizontal="center"/>
    </xf>
    <xf numFmtId="1" fontId="23" fillId="3" borderId="12" xfId="3" applyNumberFormat="1" applyFont="1" applyFill="1" applyBorder="1" applyAlignment="1">
      <alignment horizontal="center" vertical="center"/>
    </xf>
    <xf numFmtId="1" fontId="16" fillId="3" borderId="12" xfId="3" applyNumberFormat="1" applyFont="1" applyFill="1" applyBorder="1" applyAlignment="1">
      <alignment horizontal="center" vertical="center"/>
    </xf>
    <xf numFmtId="2" fontId="16" fillId="9" borderId="7" xfId="3" applyNumberFormat="1" applyFont="1" applyFill="1" applyBorder="1" applyAlignment="1">
      <alignment horizontal="center"/>
    </xf>
    <xf numFmtId="2" fontId="16" fillId="0" borderId="13" xfId="3" applyNumberFormat="1" applyFont="1" applyBorder="1" applyAlignment="1">
      <alignment horizontal="center"/>
    </xf>
    <xf numFmtId="0" fontId="20" fillId="0" borderId="14" xfId="3" applyFont="1" applyBorder="1"/>
    <xf numFmtId="1" fontId="20" fillId="0" borderId="15" xfId="3" applyNumberFormat="1" applyFont="1" applyBorder="1"/>
    <xf numFmtId="2" fontId="20" fillId="0" borderId="0" xfId="3" applyNumberFormat="1" applyFont="1"/>
    <xf numFmtId="9" fontId="16" fillId="0" borderId="0" xfId="5" applyFont="1" applyFill="1" applyBorder="1" applyAlignment="1">
      <alignment horizontal="center"/>
    </xf>
    <xf numFmtId="9" fontId="20" fillId="0" borderId="0" xfId="5" applyFont="1" applyBorder="1"/>
    <xf numFmtId="9" fontId="20" fillId="0" borderId="0" xfId="3" applyNumberFormat="1" applyFont="1"/>
    <xf numFmtId="166" fontId="17" fillId="0" borderId="0" xfId="3" applyNumberFormat="1" applyFont="1"/>
    <xf numFmtId="165" fontId="16" fillId="0" borderId="0" xfId="4" applyFont="1" applyFill="1" applyBorder="1" applyAlignment="1">
      <alignment horizontal="center"/>
    </xf>
    <xf numFmtId="0" fontId="16" fillId="12" borderId="6" xfId="3" applyFont="1" applyFill="1" applyBorder="1" applyAlignment="1">
      <alignment horizontal="center" vertical="center"/>
    </xf>
    <xf numFmtId="2" fontId="16" fillId="12" borderId="7" xfId="3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/>
    </xf>
    <xf numFmtId="10" fontId="16" fillId="3" borderId="6" xfId="3" applyNumberFormat="1" applyFont="1" applyFill="1" applyBorder="1" applyAlignment="1">
      <alignment horizontal="center" vertical="center"/>
    </xf>
    <xf numFmtId="2" fontId="16" fillId="3" borderId="18" xfId="3" applyNumberFormat="1" applyFont="1" applyFill="1" applyBorder="1" applyAlignment="1">
      <alignment horizontal="center" vertical="center"/>
    </xf>
    <xf numFmtId="2" fontId="16" fillId="3" borderId="7" xfId="3" applyNumberFormat="1" applyFont="1" applyFill="1" applyBorder="1" applyAlignment="1">
      <alignment horizontal="center" vertical="center"/>
    </xf>
    <xf numFmtId="2" fontId="20" fillId="3" borderId="0" xfId="3" applyNumberFormat="1" applyFont="1" applyFill="1" applyAlignment="1">
      <alignment horizontal="center" vertical="center"/>
    </xf>
    <xf numFmtId="0" fontId="20" fillId="3" borderId="6" xfId="3" applyFont="1" applyFill="1" applyBorder="1" applyAlignment="1">
      <alignment horizontal="center" vertical="center"/>
    </xf>
    <xf numFmtId="9" fontId="16" fillId="3" borderId="6" xfId="3" applyNumberFormat="1" applyFont="1" applyFill="1" applyBorder="1" applyAlignment="1">
      <alignment horizontal="center" vertical="center"/>
    </xf>
    <xf numFmtId="2" fontId="16" fillId="0" borderId="0" xfId="3" applyNumberFormat="1" applyFont="1"/>
    <xf numFmtId="2" fontId="16" fillId="0" borderId="0" xfId="3" applyNumberFormat="1" applyFont="1" applyAlignment="1">
      <alignment horizontal="right"/>
    </xf>
    <xf numFmtId="2" fontId="16" fillId="12" borderId="6" xfId="3" applyNumberFormat="1" applyFont="1" applyFill="1" applyBorder="1" applyAlignment="1">
      <alignment horizontal="right"/>
    </xf>
    <xf numFmtId="172" fontId="16" fillId="3" borderId="6" xfId="3" applyNumberFormat="1" applyFont="1" applyFill="1" applyBorder="1" applyAlignment="1">
      <alignment horizontal="center" vertical="center"/>
    </xf>
    <xf numFmtId="2" fontId="16" fillId="0" borderId="6" xfId="3" applyNumberFormat="1" applyFont="1" applyBorder="1" applyAlignment="1">
      <alignment horizontal="center" vertical="center"/>
    </xf>
    <xf numFmtId="2" fontId="16" fillId="12" borderId="6" xfId="3" applyNumberFormat="1" applyFont="1" applyFill="1" applyBorder="1" applyAlignment="1">
      <alignment horizontal="center" vertical="center"/>
    </xf>
    <xf numFmtId="2" fontId="16" fillId="13" borderId="6" xfId="3" applyNumberFormat="1" applyFont="1" applyFill="1" applyBorder="1" applyAlignment="1">
      <alignment horizontal="center" vertical="center"/>
    </xf>
    <xf numFmtId="173" fontId="16" fillId="3" borderId="0" xfId="3" applyNumberFormat="1" applyFont="1" applyFill="1" applyAlignment="1">
      <alignment horizontal="right" vertical="center"/>
    </xf>
    <xf numFmtId="2" fontId="16" fillId="0" borderId="6" xfId="3" applyNumberFormat="1" applyFont="1" applyBorder="1"/>
    <xf numFmtId="169" fontId="16" fillId="3" borderId="6" xfId="3" applyNumberFormat="1" applyFont="1" applyFill="1" applyBorder="1" applyAlignment="1">
      <alignment horizontal="center" vertical="center"/>
    </xf>
    <xf numFmtId="0" fontId="16" fillId="12" borderId="0" xfId="3" applyFont="1" applyFill="1" applyAlignment="1">
      <alignment horizontal="center" vertical="center"/>
    </xf>
    <xf numFmtId="173" fontId="16" fillId="12" borderId="6" xfId="3" applyNumberFormat="1" applyFont="1" applyFill="1" applyBorder="1" applyAlignment="1">
      <alignment horizontal="center" vertical="center"/>
    </xf>
    <xf numFmtId="9" fontId="16" fillId="3" borderId="6" xfId="5" applyFont="1" applyFill="1" applyBorder="1" applyAlignment="1">
      <alignment horizontal="center" vertical="center"/>
    </xf>
    <xf numFmtId="2" fontId="24" fillId="3" borderId="0" xfId="3" applyNumberFormat="1" applyFont="1" applyFill="1"/>
    <xf numFmtId="0" fontId="16" fillId="0" borderId="0" xfId="3" applyFont="1" applyAlignment="1">
      <alignment horizontal="center" vertical="center"/>
    </xf>
    <xf numFmtId="0" fontId="17" fillId="0" borderId="0" xfId="3" applyFont="1" applyAlignment="1">
      <alignment vertical="center"/>
    </xf>
    <xf numFmtId="0" fontId="16" fillId="3" borderId="0" xfId="3" applyFont="1" applyFill="1" applyAlignment="1">
      <alignment horizontal="center" vertical="center"/>
    </xf>
    <xf numFmtId="165" fontId="16" fillId="3" borderId="0" xfId="4" applyFont="1" applyFill="1" applyBorder="1" applyAlignment="1">
      <alignment horizontal="center" vertical="center"/>
    </xf>
    <xf numFmtId="172" fontId="17" fillId="0" borderId="0" xfId="3" applyNumberFormat="1" applyFont="1" applyAlignment="1">
      <alignment vertical="center"/>
    </xf>
    <xf numFmtId="10" fontId="16" fillId="3" borderId="0" xfId="3" applyNumberFormat="1" applyFont="1" applyFill="1" applyAlignment="1">
      <alignment horizontal="center" vertical="center"/>
    </xf>
    <xf numFmtId="173" fontId="20" fillId="0" borderId="0" xfId="3" applyNumberFormat="1" applyFont="1"/>
    <xf numFmtId="165" fontId="17" fillId="0" borderId="0" xfId="4" applyFont="1"/>
    <xf numFmtId="2" fontId="16" fillId="10" borderId="6" xfId="3" applyNumberFormat="1" applyFont="1" applyFill="1" applyBorder="1" applyAlignment="1">
      <alignment horizontal="center" vertical="center"/>
    </xf>
    <xf numFmtId="2" fontId="16" fillId="14" borderId="6" xfId="3" applyNumberFormat="1" applyFont="1" applyFill="1" applyBorder="1" applyAlignment="1">
      <alignment horizontal="center" vertical="center"/>
    </xf>
    <xf numFmtId="2" fontId="17" fillId="0" borderId="7" xfId="3" applyNumberFormat="1" applyFont="1" applyBorder="1" applyAlignment="1">
      <alignment horizontal="center"/>
    </xf>
    <xf numFmtId="0" fontId="16" fillId="10" borderId="6" xfId="3" applyFont="1" applyFill="1" applyBorder="1" applyAlignment="1">
      <alignment horizontal="center"/>
    </xf>
    <xf numFmtId="0" fontId="16" fillId="9" borderId="6" xfId="3" applyFont="1" applyFill="1" applyBorder="1" applyAlignment="1">
      <alignment horizontal="center"/>
    </xf>
    <xf numFmtId="0" fontId="17" fillId="0" borderId="0" xfId="3" applyFont="1" applyAlignment="1">
      <alignment horizontal="center"/>
    </xf>
    <xf numFmtId="0" fontId="16" fillId="3" borderId="6" xfId="3" applyFont="1" applyFill="1" applyBorder="1" applyAlignment="1">
      <alignment horizontal="center"/>
    </xf>
    <xf numFmtId="0" fontId="16" fillId="8" borderId="6" xfId="3" applyFont="1" applyFill="1" applyBorder="1" applyAlignment="1">
      <alignment horizontal="center"/>
    </xf>
    <xf numFmtId="0" fontId="16" fillId="7" borderId="6" xfId="3" applyFont="1" applyFill="1" applyBorder="1" applyAlignment="1">
      <alignment horizontal="center" vertical="center"/>
    </xf>
    <xf numFmtId="0" fontId="16" fillId="7" borderId="6" xfId="3" applyFont="1" applyFill="1" applyBorder="1" applyAlignment="1">
      <alignment horizontal="center"/>
    </xf>
    <xf numFmtId="0" fontId="20" fillId="0" borderId="6" xfId="3" applyFont="1" applyBorder="1" applyAlignment="1">
      <alignment horizontal="center"/>
    </xf>
    <xf numFmtId="174" fontId="6" fillId="0" borderId="0" xfId="3" applyNumberFormat="1"/>
    <xf numFmtId="168" fontId="12" fillId="0" borderId="0" xfId="3" applyNumberFormat="1" applyFont="1"/>
    <xf numFmtId="2" fontId="17" fillId="11" borderId="11" xfId="3" applyNumberFormat="1" applyFont="1" applyFill="1" applyBorder="1" applyAlignment="1">
      <alignment horizontal="center" vertical="center"/>
    </xf>
    <xf numFmtId="1" fontId="23" fillId="11" borderId="11" xfId="3" applyNumberFormat="1" applyFont="1" applyFill="1" applyBorder="1" applyAlignment="1">
      <alignment horizontal="center" vertical="center"/>
    </xf>
    <xf numFmtId="1" fontId="16" fillId="11" borderId="11" xfId="3" applyNumberFormat="1" applyFont="1" applyFill="1" applyBorder="1" applyAlignment="1">
      <alignment horizontal="center" vertical="center"/>
    </xf>
    <xf numFmtId="2" fontId="17" fillId="11" borderId="12" xfId="3" applyNumberFormat="1" applyFont="1" applyFill="1" applyBorder="1" applyAlignment="1">
      <alignment horizontal="center"/>
    </xf>
    <xf numFmtId="1" fontId="23" fillId="11" borderId="12" xfId="3" applyNumberFormat="1" applyFont="1" applyFill="1" applyBorder="1" applyAlignment="1">
      <alignment horizontal="center" vertical="center"/>
    </xf>
    <xf numFmtId="1" fontId="16" fillId="11" borderId="12" xfId="3" applyNumberFormat="1" applyFont="1" applyFill="1" applyBorder="1" applyAlignment="1">
      <alignment horizontal="center" vertical="center"/>
    </xf>
    <xf numFmtId="0" fontId="17" fillId="11" borderId="11" xfId="3" applyFont="1" applyFill="1" applyBorder="1" applyAlignment="1">
      <alignment horizontal="center"/>
    </xf>
    <xf numFmtId="168" fontId="26" fillId="3" borderId="5" xfId="2" applyNumberFormat="1" applyFont="1" applyFill="1" applyBorder="1" applyAlignment="1">
      <alignment horizontal="center" vertical="center" wrapText="1"/>
    </xf>
    <xf numFmtId="0" fontId="12" fillId="0" borderId="2" xfId="0" applyFont="1" applyBorder="1"/>
    <xf numFmtId="0" fontId="12" fillId="3" borderId="2" xfId="0" applyFont="1" applyFill="1" applyBorder="1"/>
    <xf numFmtId="166" fontId="12" fillId="0" borderId="2" xfId="6" applyNumberFormat="1" applyFont="1" applyBorder="1"/>
    <xf numFmtId="0" fontId="14" fillId="0" borderId="0" xfId="0" applyFont="1" applyAlignment="1">
      <alignment horizontal="center"/>
    </xf>
    <xf numFmtId="167" fontId="14" fillId="3" borderId="0" xfId="7" applyNumberFormat="1" applyFont="1" applyFill="1"/>
    <xf numFmtId="166" fontId="14" fillId="0" borderId="0" xfId="6" applyNumberFormat="1" applyFont="1"/>
    <xf numFmtId="0" fontId="14" fillId="0" borderId="0" xfId="3" applyFont="1" applyAlignment="1">
      <alignment horizontal="left" vertical="center"/>
    </xf>
    <xf numFmtId="0" fontId="14" fillId="0" borderId="0" xfId="0" applyFont="1"/>
    <xf numFmtId="170" fontId="28" fillId="3" borderId="19" xfId="2" applyNumberFormat="1" applyFont="1" applyFill="1" applyBorder="1" applyAlignment="1">
      <alignment horizontal="center" vertical="center" wrapText="1"/>
    </xf>
    <xf numFmtId="170" fontId="14" fillId="3" borderId="19" xfId="2" applyNumberFormat="1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center" vertical="center"/>
    </xf>
    <xf numFmtId="170" fontId="14" fillId="3" borderId="6" xfId="0" applyNumberFormat="1" applyFont="1" applyFill="1" applyBorder="1" applyAlignment="1">
      <alignment horizontal="center" vertical="center"/>
    </xf>
    <xf numFmtId="174" fontId="14" fillId="3" borderId="6" xfId="1" applyNumberFormat="1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170" fontId="28" fillId="3" borderId="6" xfId="0" applyNumberFormat="1" applyFont="1" applyFill="1" applyBorder="1" applyAlignment="1">
      <alignment horizontal="center" vertical="center" wrapText="1"/>
    </xf>
    <xf numFmtId="170" fontId="14" fillId="3" borderId="23" xfId="2" applyNumberFormat="1" applyFont="1" applyFill="1" applyBorder="1" applyAlignment="1">
      <alignment horizontal="center" vertical="center" wrapText="1"/>
    </xf>
    <xf numFmtId="174" fontId="14" fillId="3" borderId="6" xfId="1" applyNumberFormat="1" applyFont="1" applyFill="1" applyBorder="1" applyAlignment="1">
      <alignment vertical="center"/>
    </xf>
    <xf numFmtId="0" fontId="14" fillId="13" borderId="6" xfId="0" applyFont="1" applyFill="1" applyBorder="1" applyAlignment="1">
      <alignment horizontal="left" vertical="center" wrapText="1"/>
    </xf>
    <xf numFmtId="170" fontId="28" fillId="3" borderId="22" xfId="2" applyNumberFormat="1" applyFont="1" applyFill="1" applyBorder="1" applyAlignment="1">
      <alignment horizontal="center" vertical="center" wrapText="1"/>
    </xf>
    <xf numFmtId="174" fontId="14" fillId="3" borderId="6" xfId="0" applyNumberFormat="1" applyFont="1" applyFill="1" applyBorder="1" applyAlignment="1">
      <alignment horizontal="center" vertical="center"/>
    </xf>
    <xf numFmtId="170" fontId="14" fillId="3" borderId="24" xfId="2" applyNumberFormat="1" applyFont="1" applyFill="1" applyBorder="1" applyAlignment="1">
      <alignment horizontal="center" vertical="center" wrapText="1"/>
    </xf>
    <xf numFmtId="0" fontId="30" fillId="0" borderId="0" xfId="3" applyFont="1"/>
    <xf numFmtId="0" fontId="30" fillId="0" borderId="0" xfId="3" applyFont="1" applyAlignment="1">
      <alignment horizontal="left"/>
    </xf>
    <xf numFmtId="165" fontId="31" fillId="0" borderId="0" xfId="4" applyFont="1" applyBorder="1" applyAlignment="1">
      <alignment horizontal="left"/>
    </xf>
    <xf numFmtId="0" fontId="29" fillId="5" borderId="4" xfId="0" applyFont="1" applyFill="1" applyBorder="1" applyAlignment="1">
      <alignment horizontal="center" vertical="center"/>
    </xf>
    <xf numFmtId="0" fontId="14" fillId="0" borderId="0" xfId="3" applyFont="1" applyAlignment="1">
      <alignment horizontal="justify" vertical="center"/>
    </xf>
    <xf numFmtId="0" fontId="28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28" fillId="6" borderId="0" xfId="0" applyFont="1" applyFill="1" applyAlignment="1">
      <alignment horizontal="left" wrapText="1"/>
    </xf>
    <xf numFmtId="0" fontId="28" fillId="3" borderId="0" xfId="0" applyFont="1" applyFill="1" applyAlignment="1">
      <alignment horizontal="left" wrapText="1"/>
    </xf>
    <xf numFmtId="166" fontId="28" fillId="6" borderId="0" xfId="4" applyNumberFormat="1" applyFont="1" applyFill="1" applyBorder="1" applyAlignment="1">
      <alignment horizontal="left" wrapText="1"/>
    </xf>
    <xf numFmtId="0" fontId="32" fillId="0" borderId="0" xfId="0" applyFont="1"/>
    <xf numFmtId="0" fontId="32" fillId="3" borderId="0" xfId="0" applyFont="1" applyFill="1"/>
    <xf numFmtId="166" fontId="32" fillId="0" borderId="0" xfId="4" applyNumberFormat="1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28" fillId="0" borderId="0" xfId="3" applyFont="1" applyAlignment="1">
      <alignment horizontal="left" vertical="center"/>
    </xf>
    <xf numFmtId="0" fontId="14" fillId="0" borderId="0" xfId="0" applyFont="1" applyAlignment="1">
      <alignment horizontal="center"/>
    </xf>
    <xf numFmtId="0" fontId="30" fillId="0" borderId="0" xfId="3" applyFont="1" applyAlignment="1">
      <alignment horizontal="justify" vertical="center"/>
    </xf>
    <xf numFmtId="0" fontId="28" fillId="3" borderId="6" xfId="0" applyFont="1" applyFill="1" applyBorder="1" applyAlignment="1">
      <alignment horizontal="left" vertical="center" wrapText="1"/>
    </xf>
    <xf numFmtId="0" fontId="14" fillId="0" borderId="0" xfId="3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0" xfId="3" applyFont="1" applyAlignment="1">
      <alignment horizontal="center"/>
    </xf>
    <xf numFmtId="0" fontId="5" fillId="0" borderId="0" xfId="0" applyFont="1" applyAlignment="1">
      <alignment horizontal="right" wrapText="1"/>
    </xf>
    <xf numFmtId="0" fontId="25" fillId="0" borderId="0" xfId="8" applyAlignment="1">
      <alignment horizontal="right" wrapText="1"/>
    </xf>
    <xf numFmtId="0" fontId="14" fillId="0" borderId="0" xfId="0" applyFont="1" applyAlignment="1">
      <alignment horizontal="left" vertical="top" wrapText="1"/>
    </xf>
    <xf numFmtId="0" fontId="27" fillId="3" borderId="21" xfId="0" applyFont="1" applyFill="1" applyBorder="1" applyAlignment="1">
      <alignment horizontal="center" vertical="top"/>
    </xf>
    <xf numFmtId="0" fontId="28" fillId="0" borderId="0" xfId="3" applyFont="1" applyAlignment="1">
      <alignment horizontal="left" vertical="center"/>
    </xf>
    <xf numFmtId="0" fontId="14" fillId="0" borderId="0" xfId="0" applyFont="1" applyAlignment="1">
      <alignment horizontal="right"/>
    </xf>
    <xf numFmtId="0" fontId="29" fillId="4" borderId="3" xfId="0" applyFont="1" applyFill="1" applyBorder="1" applyAlignment="1">
      <alignment horizontal="center" vertical="center"/>
    </xf>
    <xf numFmtId="0" fontId="29" fillId="4" borderId="20" xfId="0" applyFont="1" applyFill="1" applyBorder="1" applyAlignment="1">
      <alignment horizontal="center" vertical="center"/>
    </xf>
    <xf numFmtId="2" fontId="16" fillId="12" borderId="16" xfId="3" applyNumberFormat="1" applyFont="1" applyFill="1" applyBorder="1" applyAlignment="1">
      <alignment horizontal="center" vertical="center"/>
    </xf>
    <xf numFmtId="2" fontId="16" fillId="12" borderId="17" xfId="3" applyNumberFormat="1" applyFont="1" applyFill="1" applyBorder="1" applyAlignment="1">
      <alignment horizontal="center" vertical="center"/>
    </xf>
    <xf numFmtId="0" fontId="16" fillId="12" borderId="10" xfId="3" applyFont="1" applyFill="1" applyBorder="1" applyAlignment="1">
      <alignment horizontal="center" wrapText="1"/>
    </xf>
    <xf numFmtId="0" fontId="16" fillId="12" borderId="6" xfId="3" applyFont="1" applyFill="1" applyBorder="1" applyAlignment="1">
      <alignment horizontal="center" wrapText="1"/>
    </xf>
    <xf numFmtId="2" fontId="16" fillId="0" borderId="0" xfId="3" applyNumberFormat="1" applyFont="1" applyAlignment="1">
      <alignment horizontal="center" vertical="center" wrapText="1"/>
    </xf>
    <xf numFmtId="0" fontId="20" fillId="0" borderId="0" xfId="3" applyFont="1" applyAlignment="1">
      <alignment horizontal="center" wrapText="1"/>
    </xf>
    <xf numFmtId="0" fontId="20" fillId="0" borderId="6" xfId="3" applyFont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20" fillId="0" borderId="7" xfId="3" applyFont="1" applyBorder="1" applyAlignment="1">
      <alignment horizontal="left"/>
    </xf>
    <xf numFmtId="0" fontId="20" fillId="0" borderId="8" xfId="3" applyFont="1" applyBorder="1" applyAlignment="1">
      <alignment horizontal="left"/>
    </xf>
    <xf numFmtId="0" fontId="20" fillId="0" borderId="9" xfId="3" applyFont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3" borderId="7" xfId="3" applyFont="1" applyFill="1" applyBorder="1" applyAlignment="1">
      <alignment horizontal="left"/>
    </xf>
    <xf numFmtId="0" fontId="16" fillId="3" borderId="8" xfId="3" applyFont="1" applyFill="1" applyBorder="1" applyAlignment="1">
      <alignment horizontal="left"/>
    </xf>
    <xf numFmtId="0" fontId="16" fillId="3" borderId="9" xfId="3" applyFont="1" applyFill="1" applyBorder="1" applyAlignment="1">
      <alignment horizontal="left"/>
    </xf>
    <xf numFmtId="0" fontId="20" fillId="11" borderId="6" xfId="3" applyFont="1" applyFill="1" applyBorder="1" applyAlignment="1">
      <alignment horizontal="left"/>
    </xf>
    <xf numFmtId="0" fontId="17" fillId="11" borderId="6" xfId="3" applyFont="1" applyFill="1" applyBorder="1" applyAlignment="1">
      <alignment horizontal="left"/>
    </xf>
    <xf numFmtId="0" fontId="20" fillId="3" borderId="6" xfId="3" applyFont="1" applyFill="1" applyBorder="1" applyAlignment="1">
      <alignment horizontal="left"/>
    </xf>
    <xf numFmtId="0" fontId="17" fillId="3" borderId="6" xfId="3" applyFont="1" applyFill="1" applyBorder="1" applyAlignment="1">
      <alignment horizontal="left"/>
    </xf>
    <xf numFmtId="0" fontId="17" fillId="0" borderId="7" xfId="3" applyFont="1" applyBorder="1" applyAlignment="1">
      <alignment horizontal="left"/>
    </xf>
    <xf numFmtId="0" fontId="16" fillId="10" borderId="6" xfId="3" applyFont="1" applyFill="1" applyBorder="1" applyAlignment="1">
      <alignment horizontal="center"/>
    </xf>
    <xf numFmtId="0" fontId="16" fillId="9" borderId="6" xfId="3" applyFont="1" applyFill="1" applyBorder="1" applyAlignment="1">
      <alignment horizontal="center"/>
    </xf>
    <xf numFmtId="0" fontId="17" fillId="0" borderId="0" xfId="3" applyFont="1" applyAlignment="1">
      <alignment horizontal="center"/>
    </xf>
    <xf numFmtId="0" fontId="16" fillId="8" borderId="7" xfId="3" applyFont="1" applyFill="1" applyBorder="1" applyAlignment="1">
      <alignment horizontal="center"/>
    </xf>
    <xf numFmtId="0" fontId="16" fillId="8" borderId="8" xfId="3" applyFont="1" applyFill="1" applyBorder="1" applyAlignment="1">
      <alignment horizontal="center"/>
    </xf>
    <xf numFmtId="0" fontId="16" fillId="8" borderId="9" xfId="3" applyFont="1" applyFill="1" applyBorder="1" applyAlignment="1">
      <alignment horizontal="center"/>
    </xf>
    <xf numFmtId="0" fontId="16" fillId="3" borderId="7" xfId="3" applyFont="1" applyFill="1" applyBorder="1" applyAlignment="1">
      <alignment horizontal="center"/>
    </xf>
    <xf numFmtId="0" fontId="16" fillId="3" borderId="8" xfId="3" applyFont="1" applyFill="1" applyBorder="1" applyAlignment="1">
      <alignment horizontal="center"/>
    </xf>
    <xf numFmtId="0" fontId="16" fillId="3" borderId="9" xfId="3" applyFont="1" applyFill="1" applyBorder="1" applyAlignment="1">
      <alignment horizontal="center"/>
    </xf>
    <xf numFmtId="0" fontId="18" fillId="3" borderId="7" xfId="3" applyFont="1" applyFill="1" applyBorder="1" applyAlignment="1">
      <alignment horizontal="center"/>
    </xf>
    <xf numFmtId="0" fontId="18" fillId="3" borderId="8" xfId="3" applyFont="1" applyFill="1" applyBorder="1" applyAlignment="1">
      <alignment horizontal="center"/>
    </xf>
    <xf numFmtId="0" fontId="18" fillId="3" borderId="9" xfId="3" applyFont="1" applyFill="1" applyBorder="1" applyAlignment="1">
      <alignment horizontal="center"/>
    </xf>
    <xf numFmtId="0" fontId="16" fillId="7" borderId="6" xfId="3" applyFont="1" applyFill="1" applyBorder="1" applyAlignment="1">
      <alignment horizontal="left"/>
    </xf>
    <xf numFmtId="0" fontId="19" fillId="3" borderId="6" xfId="3" applyFont="1" applyFill="1" applyBorder="1" applyAlignment="1">
      <alignment horizontal="left"/>
    </xf>
    <xf numFmtId="0" fontId="16" fillId="3" borderId="6" xfId="3" applyFont="1" applyFill="1" applyBorder="1" applyAlignment="1">
      <alignment horizontal="center"/>
    </xf>
    <xf numFmtId="0" fontId="16" fillId="8" borderId="6" xfId="3" applyFont="1" applyFill="1" applyBorder="1" applyAlignment="1">
      <alignment horizontal="center"/>
    </xf>
    <xf numFmtId="0" fontId="16" fillId="0" borderId="8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7" borderId="6" xfId="3" applyFont="1" applyFill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/>
    </xf>
    <xf numFmtId="0" fontId="16" fillId="7" borderId="6" xfId="3" applyFont="1" applyFill="1" applyBorder="1" applyAlignment="1">
      <alignment horizontal="center"/>
    </xf>
    <xf numFmtId="0" fontId="20" fillId="0" borderId="7" xfId="3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6" fillId="0" borderId="7" xfId="3" applyFont="1" applyBorder="1" applyAlignment="1">
      <alignment horizontal="center"/>
    </xf>
    <xf numFmtId="0" fontId="16" fillId="0" borderId="8" xfId="3" applyFont="1" applyBorder="1" applyAlignment="1">
      <alignment horizontal="center"/>
    </xf>
    <xf numFmtId="0" fontId="16" fillId="0" borderId="9" xfId="3" applyFont="1" applyBorder="1" applyAlignment="1">
      <alignment horizontal="center"/>
    </xf>
    <xf numFmtId="0" fontId="20" fillId="0" borderId="7" xfId="3" applyFont="1" applyBorder="1" applyAlignment="1">
      <alignment horizontal="center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6" xfId="3" applyFont="1" applyBorder="1" applyAlignment="1">
      <alignment horizontal="center"/>
    </xf>
    <xf numFmtId="0" fontId="18" fillId="3" borderId="0" xfId="3" applyFont="1" applyFill="1" applyAlignment="1">
      <alignment horizontal="left"/>
    </xf>
    <xf numFmtId="0" fontId="20" fillId="3" borderId="7" xfId="3" applyFont="1" applyFill="1" applyBorder="1" applyAlignment="1">
      <alignment horizontal="center"/>
    </xf>
    <xf numFmtId="0" fontId="20" fillId="3" borderId="8" xfId="3" applyFont="1" applyFill="1" applyBorder="1" applyAlignment="1">
      <alignment horizontal="center"/>
    </xf>
    <xf numFmtId="0" fontId="20" fillId="3" borderId="9" xfId="3" applyFont="1" applyFill="1" applyBorder="1" applyAlignment="1">
      <alignment horizontal="center"/>
    </xf>
    <xf numFmtId="0" fontId="20" fillId="3" borderId="7" xfId="3" applyFont="1" applyFill="1" applyBorder="1" applyAlignment="1">
      <alignment horizontal="left"/>
    </xf>
    <xf numFmtId="0" fontId="20" fillId="3" borderId="8" xfId="3" applyFont="1" applyFill="1" applyBorder="1" applyAlignment="1">
      <alignment horizontal="left"/>
    </xf>
    <xf numFmtId="0" fontId="20" fillId="3" borderId="9" xfId="3" applyFont="1" applyFill="1" applyBorder="1" applyAlignment="1">
      <alignment horizontal="left"/>
    </xf>
    <xf numFmtId="0" fontId="20" fillId="11" borderId="7" xfId="3" applyFont="1" applyFill="1" applyBorder="1" applyAlignment="1">
      <alignment horizontal="left"/>
    </xf>
    <xf numFmtId="0" fontId="20" fillId="11" borderId="8" xfId="3" applyFont="1" applyFill="1" applyBorder="1" applyAlignment="1">
      <alignment horizontal="left"/>
    </xf>
    <xf numFmtId="0" fontId="20" fillId="11" borderId="9" xfId="3" applyFont="1" applyFill="1" applyBorder="1" applyAlignment="1">
      <alignment horizontal="left"/>
    </xf>
  </cellXfs>
  <cellStyles count="9">
    <cellStyle name="Hipervínculo" xfId="8" builtinId="8"/>
    <cellStyle name="Millares 2" xfId="4"/>
    <cellStyle name="Millares 2 2" xfId="6"/>
    <cellStyle name="Moneda" xfId="1" builtinId="4"/>
    <cellStyle name="Moneda 2" xfId="7"/>
    <cellStyle name="Normal" xfId="0" builtinId="0"/>
    <cellStyle name="Normal 2" xfId="3"/>
    <cellStyle name="Porcentaje 2" xfId="5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962024</xdr:colOff>
      <xdr:row>7</xdr:row>
      <xdr:rowOff>152400</xdr:rowOff>
    </xdr:to>
    <xdr:pic>
      <xdr:nvPicPr>
        <xdr:cNvPr id="2" name="Imagen 3">
          <a:extLst>
            <a:ext uri="{FF2B5EF4-FFF2-40B4-BE49-F238E27FC236}">
              <a16:creationId xmlns="" xmlns:a16="http://schemas.microsoft.com/office/drawing/2014/main" id="{4BAEB95D-F6A5-40EA-A247-88A8F133A7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647824" cy="1314450"/>
        </a:xfrm>
        <a:prstGeom prst="rect">
          <a:avLst/>
        </a:prstGeom>
      </xdr:spPr>
    </xdr:pic>
    <xdr:clientData/>
  </xdr:twoCellAnchor>
  <xdr:twoCellAnchor editAs="oneCell">
    <xdr:from>
      <xdr:col>1</xdr:col>
      <xdr:colOff>4048125</xdr:colOff>
      <xdr:row>67</xdr:row>
      <xdr:rowOff>47625</xdr:rowOff>
    </xdr:from>
    <xdr:to>
      <xdr:col>1</xdr:col>
      <xdr:colOff>5697632</xdr:colOff>
      <xdr:row>72</xdr:row>
      <xdr:rowOff>31990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4D300828-B00B-4330-883B-A2DE1DEB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14182725"/>
          <a:ext cx="1649507" cy="1079740"/>
        </a:xfrm>
        <a:prstGeom prst="rect">
          <a:avLst/>
        </a:prstGeom>
      </xdr:spPr>
    </xdr:pic>
    <xdr:clientData/>
  </xdr:twoCellAnchor>
  <xdr:twoCellAnchor>
    <xdr:from>
      <xdr:col>1</xdr:col>
      <xdr:colOff>3514725</xdr:colOff>
      <xdr:row>72</xdr:row>
      <xdr:rowOff>9525</xdr:rowOff>
    </xdr:from>
    <xdr:to>
      <xdr:col>1</xdr:col>
      <xdr:colOff>6353175</xdr:colOff>
      <xdr:row>72</xdr:row>
      <xdr:rowOff>19050</xdr:rowOff>
    </xdr:to>
    <xdr:cxnSp macro="">
      <xdr:nvCxnSpPr>
        <xdr:cNvPr id="6" name="Conector recto 5">
          <a:extLst>
            <a:ext uri="{FF2B5EF4-FFF2-40B4-BE49-F238E27FC236}">
              <a16:creationId xmlns="" xmlns:a16="http://schemas.microsoft.com/office/drawing/2014/main" id="{B44F223D-20EF-32DF-3275-C62E632A279B}"/>
            </a:ext>
          </a:extLst>
        </xdr:cNvPr>
        <xdr:cNvCxnSpPr/>
      </xdr:nvCxnSpPr>
      <xdr:spPr>
        <a:xfrm>
          <a:off x="4200525" y="15240000"/>
          <a:ext cx="28384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MEE\clientes\Users\IMMEE\Documents\IMMEE%20220-A-14%20ASF-K%20DE%20MEXICO%20-%20SUSTITUIR%20TRANSFORM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izacion 218-14"/>
      <sheetName val="Part.1"/>
      <sheetName val="Part.2"/>
      <sheetName val="Part.3"/>
      <sheetName val="Part.4"/>
      <sheetName val="part.5"/>
      <sheetName val="traslado"/>
    </sheetNames>
    <sheetDataSet>
      <sheetData sheetId="0" refreshError="1"/>
      <sheetData sheetId="1" refreshError="1"/>
      <sheetData sheetId="2" refreshError="1">
        <row r="84">
          <cell r="H84">
            <v>23.457624434389142</v>
          </cell>
        </row>
      </sheetData>
      <sheetData sheetId="3" refreshError="1">
        <row r="84">
          <cell r="H84">
            <v>56.908823529411769</v>
          </cell>
        </row>
      </sheetData>
      <sheetData sheetId="4" refreshError="1">
        <row r="84">
          <cell r="H84">
            <v>15.638416289592763</v>
          </cell>
        </row>
      </sheetData>
      <sheetData sheetId="5" refreshError="1">
        <row r="84">
          <cell r="H84">
            <v>31.434024434389144</v>
          </cell>
        </row>
      </sheetData>
      <sheetData sheetId="6" refreshError="1">
        <row r="66">
          <cell r="H66">
            <v>82.773156108597291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mmee_013@hotmail.com" TargetMode="External"/><Relationship Id="rId1" Type="http://schemas.openxmlformats.org/officeDocument/2006/relationships/hyperlink" Target="http://www.immee.com.mx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5"/>
  <sheetViews>
    <sheetView tabSelected="1" view="pageBreakPreview" zoomScale="55" zoomScaleNormal="100" zoomScaleSheetLayoutView="55" workbookViewId="0">
      <selection activeCell="B16" sqref="B16"/>
    </sheetView>
  </sheetViews>
  <sheetFormatPr baseColWidth="10" defaultColWidth="9.140625" defaultRowHeight="15" x14ac:dyDescent="0.2"/>
  <cols>
    <col min="1" max="1" width="10.28515625" style="11" bestFit="1" customWidth="1"/>
    <col min="2" max="2" width="113.7109375" style="11" customWidth="1"/>
    <col min="3" max="3" width="10.140625" style="11" customWidth="1"/>
    <col min="4" max="4" width="12.28515625" style="11" customWidth="1"/>
    <col min="5" max="5" width="16.7109375" style="11" customWidth="1"/>
    <col min="6" max="6" width="22.85546875" style="11" customWidth="1"/>
    <col min="7" max="7" width="21.28515625" style="11" customWidth="1"/>
    <col min="8" max="10" width="9.140625" style="11"/>
    <col min="11" max="11" width="13.28515625" style="11" customWidth="1"/>
    <col min="12" max="16384" width="9.140625" style="11"/>
  </cols>
  <sheetData>
    <row r="1" spans="1:9" s="3" customFormat="1" ht="19.5" customHeight="1" x14ac:dyDescent="0.25">
      <c r="A1" s="1"/>
      <c r="B1" s="1"/>
      <c r="C1" s="2"/>
      <c r="D1" s="220" t="s">
        <v>219</v>
      </c>
      <c r="E1" s="220"/>
      <c r="F1" s="220"/>
    </row>
    <row r="2" spans="1:9" s="3" customFormat="1" ht="14.25" customHeight="1" x14ac:dyDescent="0.25">
      <c r="A2" s="1"/>
      <c r="B2" s="1"/>
      <c r="C2" s="2"/>
      <c r="D2" s="220" t="s">
        <v>220</v>
      </c>
      <c r="E2" s="220"/>
      <c r="F2" s="220"/>
    </row>
    <row r="3" spans="1:9" s="3" customFormat="1" ht="14.25" customHeight="1" x14ac:dyDescent="0.25">
      <c r="A3" s="1"/>
      <c r="B3" s="1"/>
      <c r="C3" s="4"/>
      <c r="D3" s="220" t="s">
        <v>221</v>
      </c>
      <c r="E3" s="220"/>
      <c r="F3" s="220"/>
    </row>
    <row r="4" spans="1:9" s="3" customFormat="1" ht="14.25" customHeight="1" x14ac:dyDescent="0.25">
      <c r="A4" s="1"/>
      <c r="B4" s="1"/>
      <c r="C4" s="2"/>
      <c r="D4" s="220" t="s">
        <v>0</v>
      </c>
      <c r="E4" s="220"/>
      <c r="F4" s="220"/>
    </row>
    <row r="5" spans="1:9" s="3" customFormat="1" ht="14.25" customHeight="1" x14ac:dyDescent="0.25">
      <c r="A5" s="1"/>
      <c r="B5" s="1"/>
      <c r="C5" s="2"/>
      <c r="D5" s="221" t="s">
        <v>222</v>
      </c>
      <c r="E5" s="220"/>
      <c r="F5" s="220"/>
    </row>
    <row r="6" spans="1:9" s="3" customFormat="1" ht="9.75" customHeight="1" x14ac:dyDescent="0.2">
      <c r="A6" s="1"/>
      <c r="B6" s="1"/>
      <c r="C6" s="1"/>
      <c r="D6" s="1"/>
      <c r="E6" s="5"/>
      <c r="F6" s="6"/>
    </row>
    <row r="7" spans="1:9" s="3" customFormat="1" ht="12.75" x14ac:dyDescent="0.2">
      <c r="A7" s="1"/>
      <c r="B7" s="1"/>
      <c r="C7" s="1"/>
      <c r="D7" s="1"/>
      <c r="E7" s="5"/>
      <c r="F7" s="6"/>
    </row>
    <row r="8" spans="1:9" s="3" customFormat="1" ht="18" thickBot="1" x14ac:dyDescent="0.25">
      <c r="A8" s="1"/>
      <c r="B8" s="223" t="s">
        <v>1</v>
      </c>
      <c r="C8" s="223"/>
      <c r="D8" s="223"/>
      <c r="E8" s="223"/>
      <c r="F8" s="223"/>
    </row>
    <row r="9" spans="1:9" s="8" customFormat="1" ht="9" customHeight="1" x14ac:dyDescent="0.3">
      <c r="A9" s="175"/>
      <c r="B9" s="175"/>
      <c r="C9" s="175"/>
      <c r="D9" s="175"/>
      <c r="E9" s="176"/>
      <c r="F9" s="177"/>
      <c r="G9" s="7"/>
      <c r="H9" s="7"/>
      <c r="I9" s="7"/>
    </row>
    <row r="10" spans="1:9" s="9" customFormat="1" ht="18" x14ac:dyDescent="0.25">
      <c r="A10" s="224" t="s">
        <v>186</v>
      </c>
      <c r="B10" s="224"/>
      <c r="C10" s="225" t="s">
        <v>225</v>
      </c>
      <c r="D10" s="225"/>
      <c r="E10" s="225"/>
      <c r="F10" s="225"/>
    </row>
    <row r="11" spans="1:9" s="9" customFormat="1" ht="29.25" customHeight="1" x14ac:dyDescent="0.25">
      <c r="A11" s="224" t="s">
        <v>224</v>
      </c>
      <c r="B11" s="224"/>
      <c r="C11" s="178"/>
      <c r="D11" s="178"/>
      <c r="E11" s="179"/>
      <c r="F11" s="180"/>
    </row>
    <row r="12" spans="1:9" s="9" customFormat="1" ht="29.25" customHeight="1" x14ac:dyDescent="0.25">
      <c r="A12" s="212"/>
      <c r="B12" s="212"/>
      <c r="C12" s="213"/>
      <c r="D12" s="213"/>
      <c r="E12" s="179"/>
      <c r="F12" s="180"/>
    </row>
    <row r="13" spans="1:9" s="9" customFormat="1" ht="21.75" customHeight="1" x14ac:dyDescent="0.25">
      <c r="A13" s="181" t="s">
        <v>2</v>
      </c>
      <c r="B13" s="182"/>
      <c r="C13" s="178"/>
      <c r="D13" s="178"/>
      <c r="E13" s="226" t="s">
        <v>196</v>
      </c>
      <c r="F13" s="227"/>
    </row>
    <row r="14" spans="1:9" s="9" customFormat="1" ht="21.75" customHeight="1" x14ac:dyDescent="0.25">
      <c r="A14" s="181"/>
      <c r="B14" s="182"/>
      <c r="C14" s="213"/>
      <c r="D14" s="213"/>
      <c r="E14" s="213"/>
      <c r="F14" s="213"/>
    </row>
    <row r="15" spans="1:9" s="9" customFormat="1" ht="61.5" customHeight="1" x14ac:dyDescent="0.2">
      <c r="A15" s="222" t="s">
        <v>227</v>
      </c>
      <c r="B15" s="222"/>
      <c r="C15" s="222"/>
      <c r="D15" s="222"/>
      <c r="E15" s="222"/>
      <c r="F15" s="222"/>
    </row>
    <row r="16" spans="1:9" s="9" customFormat="1" ht="61.5" customHeight="1" x14ac:dyDescent="0.2">
      <c r="A16" s="211"/>
      <c r="B16" s="211"/>
      <c r="C16" s="211"/>
      <c r="D16" s="211"/>
      <c r="E16" s="211"/>
      <c r="F16" s="211"/>
    </row>
    <row r="17" spans="1:7" s="9" customFormat="1" ht="61.5" customHeight="1" x14ac:dyDescent="0.2">
      <c r="A17" s="210" t="s">
        <v>228</v>
      </c>
      <c r="B17" s="210"/>
      <c r="C17" s="210"/>
      <c r="D17" s="210"/>
      <c r="E17" s="210"/>
      <c r="F17" s="210"/>
    </row>
    <row r="18" spans="1:7" s="9" customFormat="1" ht="18" x14ac:dyDescent="0.2">
      <c r="A18" s="183">
        <v>1</v>
      </c>
      <c r="B18" s="215" t="s">
        <v>187</v>
      </c>
      <c r="C18" s="215"/>
      <c r="D18" s="215"/>
      <c r="E18" s="215"/>
      <c r="F18" s="215"/>
      <c r="G18" s="165">
        <f>'INTERRUPTOR MO '!H111</f>
        <v>30134.214746679998</v>
      </c>
    </row>
    <row r="19" spans="1:7" s="9" customFormat="1" ht="18" x14ac:dyDescent="0.2">
      <c r="A19" s="184">
        <v>1.1000000000000001</v>
      </c>
      <c r="B19" s="185" t="s">
        <v>162</v>
      </c>
      <c r="C19" s="186" t="s">
        <v>223</v>
      </c>
      <c r="D19" s="187">
        <v>6</v>
      </c>
      <c r="E19" s="188">
        <v>850</v>
      </c>
      <c r="F19" s="188">
        <f t="shared" ref="F19:F25" si="0">E19*D19</f>
        <v>5100</v>
      </c>
    </row>
    <row r="20" spans="1:7" s="9" customFormat="1" ht="18" x14ac:dyDescent="0.2">
      <c r="A20" s="184">
        <v>1.2</v>
      </c>
      <c r="B20" s="185" t="s">
        <v>156</v>
      </c>
      <c r="C20" s="186" t="s">
        <v>163</v>
      </c>
      <c r="D20" s="187">
        <v>3</v>
      </c>
      <c r="E20" s="188">
        <v>850</v>
      </c>
      <c r="F20" s="188">
        <f t="shared" si="0"/>
        <v>2550</v>
      </c>
      <c r="G20" s="165">
        <f>F19+F20+F21+F22+F23+F24+F25</f>
        <v>34350</v>
      </c>
    </row>
    <row r="21" spans="1:7" s="9" customFormat="1" ht="18" x14ac:dyDescent="0.2">
      <c r="A21" s="184">
        <v>1.3</v>
      </c>
      <c r="B21" s="185" t="s">
        <v>157</v>
      </c>
      <c r="C21" s="186" t="s">
        <v>163</v>
      </c>
      <c r="D21" s="187">
        <v>6</v>
      </c>
      <c r="E21" s="188">
        <v>1200</v>
      </c>
      <c r="F21" s="188">
        <f t="shared" si="0"/>
        <v>7200</v>
      </c>
    </row>
    <row r="22" spans="1:7" s="9" customFormat="1" ht="18" x14ac:dyDescent="0.2">
      <c r="A22" s="184">
        <v>1.4</v>
      </c>
      <c r="B22" s="185" t="s">
        <v>158</v>
      </c>
      <c r="C22" s="186" t="s">
        <v>163</v>
      </c>
      <c r="D22" s="187">
        <v>3</v>
      </c>
      <c r="E22" s="188">
        <v>1200</v>
      </c>
      <c r="F22" s="188">
        <f t="shared" si="0"/>
        <v>3600</v>
      </c>
    </row>
    <row r="23" spans="1:7" s="9" customFormat="1" ht="39.75" customHeight="1" x14ac:dyDescent="0.2">
      <c r="A23" s="184">
        <v>1.5</v>
      </c>
      <c r="B23" s="185" t="s">
        <v>161</v>
      </c>
      <c r="C23" s="186" t="s">
        <v>163</v>
      </c>
      <c r="D23" s="187">
        <v>3</v>
      </c>
      <c r="E23" s="188">
        <v>2200</v>
      </c>
      <c r="F23" s="188">
        <f t="shared" si="0"/>
        <v>6600</v>
      </c>
    </row>
    <row r="24" spans="1:7" s="9" customFormat="1" ht="18" x14ac:dyDescent="0.2">
      <c r="A24" s="184">
        <v>1.6</v>
      </c>
      <c r="B24" s="185" t="s">
        <v>159</v>
      </c>
      <c r="C24" s="186" t="s">
        <v>163</v>
      </c>
      <c r="D24" s="187">
        <v>1</v>
      </c>
      <c r="E24" s="188">
        <v>4800</v>
      </c>
      <c r="F24" s="188">
        <f t="shared" si="0"/>
        <v>4800</v>
      </c>
    </row>
    <row r="25" spans="1:7" s="9" customFormat="1" ht="18" x14ac:dyDescent="0.2">
      <c r="A25" s="184">
        <v>1.7</v>
      </c>
      <c r="B25" s="185" t="s">
        <v>160</v>
      </c>
      <c r="C25" s="186" t="s">
        <v>163</v>
      </c>
      <c r="D25" s="187">
        <v>1</v>
      </c>
      <c r="E25" s="188">
        <v>4500</v>
      </c>
      <c r="F25" s="188">
        <f t="shared" si="0"/>
        <v>4500</v>
      </c>
    </row>
    <row r="26" spans="1:7" s="9" customFormat="1" ht="18" x14ac:dyDescent="0.2">
      <c r="A26" s="183">
        <v>2</v>
      </c>
      <c r="B26" s="215" t="s">
        <v>188</v>
      </c>
      <c r="C26" s="215"/>
      <c r="D26" s="215"/>
      <c r="E26" s="215"/>
      <c r="F26" s="215"/>
      <c r="G26" s="165">
        <f>'CUCHILLAS MO'!H111</f>
        <v>65628.574588720003</v>
      </c>
    </row>
    <row r="27" spans="1:7" s="9" customFormat="1" ht="18" x14ac:dyDescent="0.2">
      <c r="A27" s="184">
        <v>2.1</v>
      </c>
      <c r="B27" s="185" t="s">
        <v>212</v>
      </c>
      <c r="C27" s="189" t="s">
        <v>211</v>
      </c>
      <c r="D27" s="190">
        <v>1</v>
      </c>
      <c r="E27" s="188">
        <v>2100</v>
      </c>
      <c r="F27" s="188">
        <f>E27*D27</f>
        <v>2100</v>
      </c>
      <c r="G27" s="165"/>
    </row>
    <row r="28" spans="1:7" s="9" customFormat="1" ht="18" x14ac:dyDescent="0.2">
      <c r="A28" s="184">
        <v>2.2000000000000002</v>
      </c>
      <c r="B28" s="185" t="s">
        <v>162</v>
      </c>
      <c r="C28" s="186" t="s">
        <v>163</v>
      </c>
      <c r="D28" s="187">
        <v>6</v>
      </c>
      <c r="E28" s="188">
        <v>850</v>
      </c>
      <c r="F28" s="188">
        <f>E28*D28</f>
        <v>5100</v>
      </c>
      <c r="G28" s="165">
        <f>F28+F29+F30+F31</f>
        <v>24600</v>
      </c>
    </row>
    <row r="29" spans="1:7" s="9" customFormat="1" ht="18" x14ac:dyDescent="0.2">
      <c r="A29" s="184">
        <v>2.2999999999999998</v>
      </c>
      <c r="B29" s="185" t="s">
        <v>156</v>
      </c>
      <c r="C29" s="186" t="s">
        <v>163</v>
      </c>
      <c r="D29" s="187">
        <v>6</v>
      </c>
      <c r="E29" s="188">
        <v>850</v>
      </c>
      <c r="F29" s="188">
        <f>E29*D29</f>
        <v>5100</v>
      </c>
    </row>
    <row r="30" spans="1:7" s="9" customFormat="1" ht="18" x14ac:dyDescent="0.2">
      <c r="A30" s="184">
        <v>2.4</v>
      </c>
      <c r="B30" s="185" t="s">
        <v>157</v>
      </c>
      <c r="C30" s="186" t="s">
        <v>163</v>
      </c>
      <c r="D30" s="187">
        <v>6</v>
      </c>
      <c r="E30" s="188">
        <v>1200</v>
      </c>
      <c r="F30" s="188">
        <f>E30*D30</f>
        <v>7200</v>
      </c>
    </row>
    <row r="31" spans="1:7" s="9" customFormat="1" ht="18" x14ac:dyDescent="0.2">
      <c r="A31" s="184">
        <v>2.5</v>
      </c>
      <c r="B31" s="185" t="s">
        <v>158</v>
      </c>
      <c r="C31" s="186" t="s">
        <v>163</v>
      </c>
      <c r="D31" s="187">
        <v>6</v>
      </c>
      <c r="E31" s="188">
        <v>1200</v>
      </c>
      <c r="F31" s="188">
        <f>E31*D31</f>
        <v>7200</v>
      </c>
    </row>
    <row r="32" spans="1:7" s="9" customFormat="1" ht="18" x14ac:dyDescent="0.2">
      <c r="A32" s="183">
        <v>3</v>
      </c>
      <c r="B32" s="215" t="s">
        <v>189</v>
      </c>
      <c r="C32" s="215"/>
      <c r="D32" s="215"/>
      <c r="E32" s="215"/>
      <c r="F32" s="215"/>
      <c r="G32" s="165">
        <f>'TR 15MVA MO'!H111</f>
        <v>17975.80342932</v>
      </c>
    </row>
    <row r="33" spans="1:7" s="9" customFormat="1" ht="18" x14ac:dyDescent="0.2">
      <c r="A33" s="184">
        <v>3.1</v>
      </c>
      <c r="B33" s="185" t="s">
        <v>183</v>
      </c>
      <c r="C33" s="186" t="s">
        <v>163</v>
      </c>
      <c r="D33" s="187">
        <v>3</v>
      </c>
      <c r="E33" s="188">
        <v>850</v>
      </c>
      <c r="F33" s="188">
        <f t="shared" ref="F33:F38" si="1">E33*D33</f>
        <v>2550</v>
      </c>
      <c r="G33" s="165">
        <f>F33+F34+F35+F36+E37+E38</f>
        <v>24890</v>
      </c>
    </row>
    <row r="34" spans="1:7" s="9" customFormat="1" ht="18" x14ac:dyDescent="0.2">
      <c r="A34" s="184">
        <v>3.2</v>
      </c>
      <c r="B34" s="185" t="s">
        <v>213</v>
      </c>
      <c r="C34" s="186" t="s">
        <v>163</v>
      </c>
      <c r="D34" s="187">
        <v>3</v>
      </c>
      <c r="E34" s="188">
        <v>1500</v>
      </c>
      <c r="F34" s="188">
        <f t="shared" si="1"/>
        <v>4500</v>
      </c>
    </row>
    <row r="35" spans="1:7" s="9" customFormat="1" ht="18" x14ac:dyDescent="0.2">
      <c r="A35" s="184">
        <v>3.3</v>
      </c>
      <c r="B35" s="185" t="s">
        <v>164</v>
      </c>
      <c r="C35" s="186" t="s">
        <v>163</v>
      </c>
      <c r="D35" s="187">
        <v>6</v>
      </c>
      <c r="E35" s="188">
        <v>1200</v>
      </c>
      <c r="F35" s="188">
        <f t="shared" si="1"/>
        <v>7200</v>
      </c>
    </row>
    <row r="36" spans="1:7" s="9" customFormat="1" ht="18" x14ac:dyDescent="0.2">
      <c r="A36" s="184">
        <v>3.4</v>
      </c>
      <c r="B36" s="185" t="s">
        <v>165</v>
      </c>
      <c r="C36" s="186" t="s">
        <v>163</v>
      </c>
      <c r="D36" s="187">
        <v>3</v>
      </c>
      <c r="E36" s="188">
        <v>850</v>
      </c>
      <c r="F36" s="188">
        <f t="shared" si="1"/>
        <v>2550</v>
      </c>
    </row>
    <row r="37" spans="1:7" s="9" customFormat="1" ht="18" x14ac:dyDescent="0.2">
      <c r="A37" s="191">
        <v>3.5</v>
      </c>
      <c r="B37" s="185" t="s">
        <v>166</v>
      </c>
      <c r="C37" s="186" t="s">
        <v>163</v>
      </c>
      <c r="D37" s="187">
        <v>1</v>
      </c>
      <c r="E37" s="192">
        <v>3890</v>
      </c>
      <c r="F37" s="192">
        <f t="shared" si="1"/>
        <v>3890</v>
      </c>
      <c r="G37" s="165">
        <f>'ANALISIS MO'!H111</f>
        <v>8106.4859004800001</v>
      </c>
    </row>
    <row r="38" spans="1:7" s="9" customFormat="1" ht="23.25" customHeight="1" x14ac:dyDescent="0.2">
      <c r="A38" s="191">
        <v>3.7</v>
      </c>
      <c r="B38" s="185" t="s">
        <v>167</v>
      </c>
      <c r="C38" s="186" t="s">
        <v>163</v>
      </c>
      <c r="D38" s="187">
        <v>1</v>
      </c>
      <c r="E38" s="192">
        <v>4200</v>
      </c>
      <c r="F38" s="192">
        <f t="shared" si="1"/>
        <v>4200</v>
      </c>
    </row>
    <row r="39" spans="1:7" s="9" customFormat="1" ht="35.25" customHeight="1" x14ac:dyDescent="0.2">
      <c r="A39" s="191">
        <v>3.9</v>
      </c>
      <c r="B39" s="193" t="s">
        <v>197</v>
      </c>
      <c r="C39" s="186" t="s">
        <v>163</v>
      </c>
      <c r="D39" s="187">
        <v>0</v>
      </c>
      <c r="E39" s="192" t="s">
        <v>218</v>
      </c>
      <c r="F39" s="192"/>
    </row>
    <row r="40" spans="1:7" s="9" customFormat="1" ht="18" x14ac:dyDescent="0.2">
      <c r="A40" s="194">
        <v>4</v>
      </c>
      <c r="B40" s="215" t="s">
        <v>192</v>
      </c>
      <c r="C40" s="215"/>
      <c r="D40" s="215"/>
      <c r="E40" s="215"/>
      <c r="F40" s="215"/>
      <c r="G40" s="165">
        <f>'TABLEROS GENERAL MO'!H111</f>
        <v>102752.2544876</v>
      </c>
    </row>
    <row r="41" spans="1:7" s="9" customFormat="1" ht="18" x14ac:dyDescent="0.2">
      <c r="A41" s="184">
        <v>4.0999999999999996</v>
      </c>
      <c r="B41" s="185" t="s">
        <v>169</v>
      </c>
      <c r="C41" s="186" t="s">
        <v>168</v>
      </c>
      <c r="D41" s="187">
        <v>6</v>
      </c>
      <c r="E41" s="188">
        <v>650</v>
      </c>
      <c r="F41" s="188">
        <f t="shared" ref="F41:F46" si="2">E41*D41</f>
        <v>3900</v>
      </c>
      <c r="G41" s="165">
        <f>F41+F42+F43+F44+F45+F46</f>
        <v>65400</v>
      </c>
    </row>
    <row r="42" spans="1:7" s="9" customFormat="1" ht="18" x14ac:dyDescent="0.2">
      <c r="A42" s="184">
        <v>4.2</v>
      </c>
      <c r="B42" s="185" t="s">
        <v>170</v>
      </c>
      <c r="C42" s="186" t="s">
        <v>168</v>
      </c>
      <c r="D42" s="187">
        <v>6</v>
      </c>
      <c r="E42" s="188">
        <v>350</v>
      </c>
      <c r="F42" s="188">
        <f t="shared" si="2"/>
        <v>2100</v>
      </c>
    </row>
    <row r="43" spans="1:7" s="9" customFormat="1" ht="18" x14ac:dyDescent="0.2">
      <c r="A43" s="184">
        <v>4.3</v>
      </c>
      <c r="B43" s="185" t="s">
        <v>171</v>
      </c>
      <c r="C43" s="186" t="s">
        <v>163</v>
      </c>
      <c r="D43" s="187">
        <v>36</v>
      </c>
      <c r="E43" s="188">
        <v>550</v>
      </c>
      <c r="F43" s="188">
        <f t="shared" si="2"/>
        <v>19800</v>
      </c>
    </row>
    <row r="44" spans="1:7" s="9" customFormat="1" ht="18" x14ac:dyDescent="0.2">
      <c r="A44" s="184">
        <v>4.4000000000000004</v>
      </c>
      <c r="B44" s="185" t="s">
        <v>172</v>
      </c>
      <c r="C44" s="186" t="s">
        <v>163</v>
      </c>
      <c r="D44" s="187">
        <v>18</v>
      </c>
      <c r="E44" s="188">
        <v>650</v>
      </c>
      <c r="F44" s="188">
        <f t="shared" si="2"/>
        <v>11700</v>
      </c>
    </row>
    <row r="45" spans="1:7" s="9" customFormat="1" ht="18" x14ac:dyDescent="0.2">
      <c r="A45" s="184">
        <v>4.5</v>
      </c>
      <c r="B45" s="185" t="s">
        <v>194</v>
      </c>
      <c r="C45" s="186" t="s">
        <v>163</v>
      </c>
      <c r="D45" s="187">
        <v>6</v>
      </c>
      <c r="E45" s="188">
        <v>550</v>
      </c>
      <c r="F45" s="188">
        <f t="shared" si="2"/>
        <v>3300</v>
      </c>
    </row>
    <row r="46" spans="1:7" s="9" customFormat="1" ht="18" x14ac:dyDescent="0.2">
      <c r="A46" s="184">
        <v>4.5999999999999996</v>
      </c>
      <c r="B46" s="185" t="s">
        <v>173</v>
      </c>
      <c r="C46" s="186" t="s">
        <v>163</v>
      </c>
      <c r="D46" s="187">
        <v>6</v>
      </c>
      <c r="E46" s="188">
        <v>4100</v>
      </c>
      <c r="F46" s="188">
        <f t="shared" si="2"/>
        <v>24600</v>
      </c>
      <c r="G46" s="165"/>
    </row>
    <row r="47" spans="1:7" s="9" customFormat="1" ht="18" x14ac:dyDescent="0.2">
      <c r="A47" s="183">
        <v>5</v>
      </c>
      <c r="B47" s="215" t="s">
        <v>193</v>
      </c>
      <c r="C47" s="215"/>
      <c r="D47" s="215"/>
      <c r="E47" s="215"/>
      <c r="F47" s="215"/>
      <c r="G47" s="165"/>
    </row>
    <row r="48" spans="1:7" s="9" customFormat="1" ht="18" x14ac:dyDescent="0.2">
      <c r="A48" s="184">
        <v>5.0999999999999996</v>
      </c>
      <c r="B48" s="185" t="s">
        <v>174</v>
      </c>
      <c r="C48" s="186" t="s">
        <v>163</v>
      </c>
      <c r="D48" s="187">
        <v>1</v>
      </c>
      <c r="E48" s="188">
        <v>4600</v>
      </c>
      <c r="F48" s="195">
        <f>E48*D48</f>
        <v>4600</v>
      </c>
    </row>
    <row r="49" spans="1:7" s="9" customFormat="1" ht="17.45" customHeight="1" x14ac:dyDescent="0.2">
      <c r="A49" s="184">
        <v>5.2</v>
      </c>
      <c r="B49" s="185" t="s">
        <v>175</v>
      </c>
      <c r="C49" s="186" t="s">
        <v>163</v>
      </c>
      <c r="D49" s="187">
        <v>1</v>
      </c>
      <c r="E49" s="188">
        <v>2700</v>
      </c>
      <c r="F49" s="195">
        <f>E49*D49</f>
        <v>2700</v>
      </c>
    </row>
    <row r="50" spans="1:7" s="9" customFormat="1" ht="18" x14ac:dyDescent="0.2">
      <c r="A50" s="183">
        <v>6</v>
      </c>
      <c r="B50" s="215" t="s">
        <v>191</v>
      </c>
      <c r="C50" s="215"/>
      <c r="D50" s="215"/>
      <c r="E50" s="215"/>
      <c r="F50" s="215"/>
    </row>
    <row r="51" spans="1:7" s="9" customFormat="1" ht="18" x14ac:dyDescent="0.2">
      <c r="A51" s="184">
        <v>6.1</v>
      </c>
      <c r="B51" s="185" t="s">
        <v>215</v>
      </c>
      <c r="C51" s="186" t="s">
        <v>211</v>
      </c>
      <c r="D51" s="187">
        <v>1</v>
      </c>
      <c r="E51" s="188">
        <v>34570</v>
      </c>
      <c r="F51" s="195">
        <f>D51*E51</f>
        <v>34570</v>
      </c>
    </row>
    <row r="52" spans="1:7" s="9" customFormat="1" ht="18" x14ac:dyDescent="0.2">
      <c r="A52" s="183">
        <v>7</v>
      </c>
      <c r="B52" s="215" t="s">
        <v>190</v>
      </c>
      <c r="C52" s="215"/>
      <c r="D52" s="215"/>
      <c r="E52" s="215"/>
      <c r="F52" s="215"/>
      <c r="G52" s="165"/>
    </row>
    <row r="53" spans="1:7" s="9" customFormat="1" ht="18" x14ac:dyDescent="0.2">
      <c r="A53" s="184">
        <v>7.1</v>
      </c>
      <c r="B53" s="185" t="s">
        <v>176</v>
      </c>
      <c r="C53" s="186" t="s">
        <v>163</v>
      </c>
      <c r="D53" s="187">
        <v>11</v>
      </c>
      <c r="E53" s="188">
        <v>7670</v>
      </c>
      <c r="F53" s="195">
        <f>D53*E53</f>
        <v>84370</v>
      </c>
    </row>
    <row r="54" spans="1:7" s="9" customFormat="1" ht="18" x14ac:dyDescent="0.2">
      <c r="A54" s="183">
        <v>8</v>
      </c>
      <c r="B54" s="215" t="s">
        <v>195</v>
      </c>
      <c r="C54" s="215"/>
      <c r="D54" s="215"/>
      <c r="E54" s="215"/>
      <c r="F54" s="215"/>
      <c r="G54" s="165"/>
    </row>
    <row r="55" spans="1:7" s="9" customFormat="1" ht="27.75" customHeight="1" x14ac:dyDescent="0.2">
      <c r="A55" s="184">
        <v>8.1</v>
      </c>
      <c r="B55" s="185" t="s">
        <v>177</v>
      </c>
      <c r="C55" s="186" t="s">
        <v>168</v>
      </c>
      <c r="D55" s="187">
        <v>2</v>
      </c>
      <c r="E55" s="188">
        <f>TERMOGRAFIA!H109</f>
        <v>49904.800000000003</v>
      </c>
      <c r="F55" s="195">
        <f>D55*E55</f>
        <v>99809.600000000006</v>
      </c>
    </row>
    <row r="56" spans="1:7" s="9" customFormat="1" ht="18" x14ac:dyDescent="0.2">
      <c r="A56" s="183">
        <v>9</v>
      </c>
      <c r="B56" s="215" t="s">
        <v>181</v>
      </c>
      <c r="C56" s="215"/>
      <c r="D56" s="215"/>
      <c r="E56" s="215"/>
      <c r="F56" s="215"/>
      <c r="G56" s="165"/>
    </row>
    <row r="57" spans="1:7" s="9" customFormat="1" ht="27.75" customHeight="1" x14ac:dyDescent="0.2">
      <c r="A57" s="196">
        <v>9.1</v>
      </c>
      <c r="B57" s="185" t="s">
        <v>182</v>
      </c>
      <c r="C57" s="186" t="s">
        <v>168</v>
      </c>
      <c r="D57" s="187">
        <v>1</v>
      </c>
      <c r="E57" s="188">
        <f>'AUTOBUS Y ALIMENTOS '!H109</f>
        <v>91064.6</v>
      </c>
      <c r="F57" s="195">
        <f>D57*E57</f>
        <v>91064.6</v>
      </c>
    </row>
    <row r="58" spans="1:7" ht="24" customHeight="1" x14ac:dyDescent="0.25">
      <c r="A58" s="197"/>
      <c r="B58" s="198"/>
      <c r="C58" s="197"/>
      <c r="D58" s="199"/>
      <c r="E58" s="200" t="s">
        <v>4</v>
      </c>
      <c r="F58" s="174">
        <f>F57+F55+F53+F51+F49+F48+F46+F45+F43+F44+F42+F41+F38+F37+F36+F35+F34+F33+F31+F30+F29+F28+F27+F25+F24+F23+F22+F21+F20+F19</f>
        <v>468454.2</v>
      </c>
      <c r="G58" s="165"/>
    </row>
    <row r="59" spans="1:7" ht="32.25" customHeight="1" x14ac:dyDescent="0.25">
      <c r="A59" s="16"/>
      <c r="B59" s="214" t="s">
        <v>5</v>
      </c>
      <c r="C59" s="214"/>
      <c r="D59" s="214"/>
      <c r="E59" s="214"/>
      <c r="F59" s="214"/>
    </row>
    <row r="60" spans="1:7" ht="20.100000000000001" customHeight="1" x14ac:dyDescent="0.2">
      <c r="A60" s="201"/>
      <c r="B60" s="214" t="s">
        <v>184</v>
      </c>
      <c r="C60" s="214"/>
      <c r="D60" s="214"/>
      <c r="E60" s="214"/>
      <c r="F60" s="214"/>
      <c r="G60" s="166"/>
    </row>
    <row r="61" spans="1:7" ht="20.100000000000001" customHeight="1" x14ac:dyDescent="0.2">
      <c r="A61" s="201"/>
      <c r="B61" s="214" t="s">
        <v>185</v>
      </c>
      <c r="C61" s="214"/>
      <c r="D61" s="214"/>
      <c r="E61" s="214"/>
      <c r="F61" s="214"/>
    </row>
    <row r="62" spans="1:7" s="13" customFormat="1" ht="20.100000000000001" customHeight="1" x14ac:dyDescent="0.3">
      <c r="A62" s="201"/>
      <c r="B62" s="214" t="s">
        <v>153</v>
      </c>
      <c r="C62" s="214"/>
      <c r="D62" s="214"/>
      <c r="E62" s="214"/>
      <c r="F62" s="214"/>
    </row>
    <row r="63" spans="1:7" s="13" customFormat="1" ht="20.100000000000001" customHeight="1" x14ac:dyDescent="0.3">
      <c r="A63" s="201"/>
      <c r="B63" s="214" t="s">
        <v>155</v>
      </c>
      <c r="C63" s="214"/>
      <c r="D63" s="214"/>
      <c r="E63" s="214"/>
      <c r="F63" s="214"/>
    </row>
    <row r="64" spans="1:7" s="13" customFormat="1" ht="20.100000000000001" customHeight="1" x14ac:dyDescent="0.3">
      <c r="A64" s="201"/>
      <c r="B64" s="214" t="s">
        <v>154</v>
      </c>
      <c r="C64" s="214"/>
      <c r="D64" s="214"/>
      <c r="E64" s="214"/>
      <c r="F64" s="214"/>
    </row>
    <row r="65" spans="1:7" s="13" customFormat="1" ht="18.75" x14ac:dyDescent="0.3">
      <c r="A65" s="202"/>
      <c r="B65" s="203" t="s">
        <v>226</v>
      </c>
      <c r="C65" s="204"/>
      <c r="D65" s="204"/>
      <c r="E65" s="205"/>
      <c r="F65" s="206"/>
    </row>
    <row r="66" spans="1:7" s="13" customFormat="1" ht="18.75" x14ac:dyDescent="0.3">
      <c r="A66" s="182"/>
      <c r="B66" s="182"/>
      <c r="C66" s="207"/>
      <c r="D66" s="207"/>
      <c r="E66" s="208"/>
      <c r="F66" s="209"/>
    </row>
    <row r="67" spans="1:7" s="13" customFormat="1" ht="18.75" x14ac:dyDescent="0.3">
      <c r="A67" s="218" t="s">
        <v>6</v>
      </c>
      <c r="B67" s="218"/>
      <c r="C67" s="218"/>
      <c r="D67" s="218"/>
      <c r="E67" s="218"/>
      <c r="F67" s="218"/>
    </row>
    <row r="68" spans="1:7" s="13" customFormat="1" ht="17.25" customHeight="1" x14ac:dyDescent="0.3">
      <c r="A68" s="216"/>
      <c r="B68" s="216"/>
      <c r="C68" s="216"/>
      <c r="D68" s="216"/>
      <c r="E68" s="216"/>
      <c r="F68" s="216"/>
    </row>
    <row r="69" spans="1:7" s="13" customFormat="1" ht="17.25" customHeight="1" x14ac:dyDescent="0.3">
      <c r="A69" s="216"/>
      <c r="B69" s="216"/>
      <c r="C69" s="216"/>
      <c r="D69" s="216"/>
      <c r="E69" s="216"/>
      <c r="F69" s="216"/>
    </row>
    <row r="70" spans="1:7" s="13" customFormat="1" ht="17.25" customHeight="1" x14ac:dyDescent="0.3">
      <c r="A70" s="216"/>
      <c r="B70" s="216"/>
      <c r="C70" s="216"/>
      <c r="D70" s="216"/>
      <c r="E70" s="216"/>
      <c r="F70" s="216"/>
    </row>
    <row r="71" spans="1:7" s="13" customFormat="1" ht="17.25" customHeight="1" x14ac:dyDescent="0.3">
      <c r="A71" s="216"/>
      <c r="B71" s="216"/>
      <c r="C71" s="216"/>
      <c r="D71" s="216"/>
      <c r="E71" s="216"/>
      <c r="F71" s="216"/>
      <c r="G71" s="14"/>
    </row>
    <row r="72" spans="1:7" s="13" customFormat="1" ht="17.25" customHeight="1" x14ac:dyDescent="0.3">
      <c r="A72" s="216"/>
      <c r="B72" s="216"/>
      <c r="C72" s="216"/>
      <c r="D72" s="216"/>
      <c r="E72" s="216"/>
      <c r="F72" s="216"/>
      <c r="G72" s="10"/>
    </row>
    <row r="73" spans="1:7" s="13" customFormat="1" ht="18" x14ac:dyDescent="0.3">
      <c r="A73" s="217" t="s">
        <v>7</v>
      </c>
      <c r="B73" s="217"/>
      <c r="C73" s="217"/>
      <c r="D73" s="217"/>
      <c r="E73" s="217"/>
      <c r="F73" s="217"/>
    </row>
    <row r="74" spans="1:7" s="13" customFormat="1" ht="18.75" x14ac:dyDescent="0.3">
      <c r="A74" s="218" t="s">
        <v>8</v>
      </c>
      <c r="B74" s="218"/>
      <c r="C74" s="218"/>
      <c r="D74" s="218"/>
      <c r="E74" s="218"/>
      <c r="F74" s="218"/>
    </row>
    <row r="75" spans="1:7" s="13" customFormat="1" ht="17.25" x14ac:dyDescent="0.3">
      <c r="A75" s="219"/>
      <c r="B75" s="219"/>
      <c r="C75" s="219"/>
      <c r="D75" s="219"/>
      <c r="E75" s="219"/>
      <c r="F75" s="219"/>
    </row>
    <row r="76" spans="1:7" s="13" customFormat="1" ht="17.25" x14ac:dyDescent="0.3"/>
    <row r="77" spans="1:7" s="13" customFormat="1" ht="17.25" x14ac:dyDescent="0.3"/>
    <row r="78" spans="1:7" s="13" customFormat="1" ht="17.25" x14ac:dyDescent="0.3"/>
    <row r="79" spans="1:7" s="13" customFormat="1" ht="17.25" x14ac:dyDescent="0.3"/>
    <row r="80" spans="1:7" s="13" customFormat="1" ht="17.25" x14ac:dyDescent="0.3"/>
    <row r="81" spans="1:6" s="13" customFormat="1" ht="17.25" x14ac:dyDescent="0.3"/>
    <row r="82" spans="1:6" s="12" customFormat="1" ht="17.25" x14ac:dyDescent="0.3">
      <c r="A82" s="13"/>
      <c r="B82" s="13"/>
      <c r="C82" s="13"/>
      <c r="D82" s="13"/>
      <c r="E82" s="13"/>
      <c r="F82" s="13"/>
    </row>
    <row r="83" spans="1:6" s="12" customFormat="1" ht="18.75" x14ac:dyDescent="0.3">
      <c r="A83" s="15"/>
      <c r="B83" s="15"/>
      <c r="C83" s="15"/>
      <c r="D83" s="15"/>
      <c r="E83" s="15"/>
      <c r="F83" s="15"/>
    </row>
    <row r="84" spans="1:6" s="12" customFormat="1" ht="18.75" x14ac:dyDescent="0.3">
      <c r="A84" s="15"/>
      <c r="B84" s="15"/>
      <c r="C84" s="15"/>
      <c r="D84" s="15"/>
      <c r="E84" s="15"/>
      <c r="F84" s="15"/>
    </row>
    <row r="85" spans="1:6" s="12" customFormat="1" ht="18.75" x14ac:dyDescent="0.3">
      <c r="A85" s="15"/>
      <c r="B85" s="15"/>
      <c r="C85" s="15"/>
      <c r="D85" s="15"/>
      <c r="E85" s="15"/>
      <c r="F85" s="15"/>
    </row>
    <row r="86" spans="1:6" s="12" customFormat="1" ht="18.75" x14ac:dyDescent="0.3">
      <c r="A86" s="15"/>
      <c r="B86" s="15"/>
      <c r="C86" s="15"/>
      <c r="D86" s="15"/>
      <c r="E86" s="15"/>
      <c r="F86" s="15"/>
    </row>
    <row r="87" spans="1:6" s="12" customFormat="1" ht="18.75" x14ac:dyDescent="0.3">
      <c r="A87" s="15"/>
      <c r="B87" s="15"/>
      <c r="C87" s="15"/>
      <c r="D87" s="15"/>
      <c r="E87" s="15"/>
      <c r="F87" s="15"/>
    </row>
    <row r="88" spans="1:6" s="12" customFormat="1" ht="18.75" x14ac:dyDescent="0.3">
      <c r="A88" s="15"/>
      <c r="B88" s="15"/>
      <c r="C88" s="15"/>
      <c r="D88" s="15"/>
      <c r="E88" s="15"/>
      <c r="F88" s="15"/>
    </row>
    <row r="89" spans="1:6" s="12" customFormat="1" ht="18.75" x14ac:dyDescent="0.3">
      <c r="A89" s="15"/>
      <c r="B89" s="15"/>
      <c r="C89" s="15"/>
      <c r="D89" s="15"/>
      <c r="E89" s="15"/>
      <c r="F89" s="15"/>
    </row>
    <row r="90" spans="1:6" s="12" customFormat="1" ht="18.75" x14ac:dyDescent="0.3">
      <c r="A90" s="15"/>
      <c r="B90" s="15"/>
      <c r="C90" s="15"/>
      <c r="D90" s="15"/>
      <c r="E90" s="15"/>
      <c r="F90" s="15"/>
    </row>
    <row r="91" spans="1:6" s="12" customFormat="1" ht="18.75" x14ac:dyDescent="0.3">
      <c r="A91" s="15"/>
      <c r="B91" s="15"/>
      <c r="C91" s="15"/>
      <c r="D91" s="15"/>
      <c r="E91" s="15"/>
      <c r="F91" s="15"/>
    </row>
    <row r="92" spans="1:6" s="12" customFormat="1" ht="18.75" x14ac:dyDescent="0.3">
      <c r="A92" s="15"/>
      <c r="B92" s="15"/>
      <c r="C92" s="15"/>
      <c r="D92" s="15"/>
      <c r="E92" s="15"/>
      <c r="F92" s="15"/>
    </row>
    <row r="93" spans="1:6" s="12" customFormat="1" ht="18.75" x14ac:dyDescent="0.3">
      <c r="A93" s="15"/>
      <c r="B93" s="15"/>
      <c r="C93" s="15"/>
      <c r="D93" s="15"/>
      <c r="E93" s="15"/>
      <c r="F93" s="15"/>
    </row>
    <row r="94" spans="1:6" s="12" customFormat="1" ht="18.75" x14ac:dyDescent="0.3">
      <c r="A94" s="15"/>
      <c r="B94" s="15"/>
      <c r="C94" s="15"/>
      <c r="D94" s="15"/>
      <c r="E94" s="15"/>
      <c r="F94" s="15"/>
    </row>
    <row r="95" spans="1:6" s="12" customFormat="1" ht="18.75" x14ac:dyDescent="0.3">
      <c r="A95" s="15"/>
      <c r="B95" s="15"/>
      <c r="C95" s="15"/>
      <c r="D95" s="15"/>
      <c r="E95" s="15"/>
      <c r="F95" s="15"/>
    </row>
    <row r="96" spans="1:6" s="12" customFormat="1" ht="18.75" x14ac:dyDescent="0.3">
      <c r="A96" s="15"/>
      <c r="B96" s="15"/>
      <c r="C96" s="15"/>
      <c r="D96" s="15"/>
      <c r="E96" s="15"/>
      <c r="F96" s="15"/>
    </row>
    <row r="97" spans="1:6" s="12" customFormat="1" ht="18.75" x14ac:dyDescent="0.3">
      <c r="A97" s="15"/>
      <c r="B97" s="15"/>
      <c r="C97" s="15"/>
      <c r="D97" s="15"/>
      <c r="E97" s="15"/>
      <c r="F97" s="15"/>
    </row>
    <row r="98" spans="1:6" s="12" customFormat="1" ht="18.75" x14ac:dyDescent="0.3">
      <c r="A98" s="15"/>
      <c r="B98" s="15"/>
      <c r="C98" s="15"/>
      <c r="D98" s="15"/>
      <c r="E98" s="15"/>
      <c r="F98" s="15"/>
    </row>
    <row r="99" spans="1:6" s="12" customFormat="1" ht="18.75" x14ac:dyDescent="0.3">
      <c r="A99" s="15"/>
      <c r="B99" s="15"/>
      <c r="C99" s="15"/>
      <c r="D99" s="15"/>
      <c r="E99" s="15"/>
      <c r="F99" s="15"/>
    </row>
    <row r="100" spans="1:6" s="12" customFormat="1" ht="18.75" x14ac:dyDescent="0.3">
      <c r="A100" s="15"/>
      <c r="B100" s="15"/>
      <c r="C100" s="15"/>
      <c r="D100" s="15"/>
      <c r="E100" s="15"/>
      <c r="F100" s="15"/>
    </row>
    <row r="101" spans="1:6" s="12" customFormat="1" ht="18.75" x14ac:dyDescent="0.3">
      <c r="A101" s="15"/>
      <c r="B101" s="15"/>
      <c r="C101" s="15"/>
      <c r="D101" s="15"/>
      <c r="E101" s="15"/>
      <c r="F101" s="15"/>
    </row>
    <row r="102" spans="1:6" s="12" customFormat="1" ht="18.75" x14ac:dyDescent="0.3">
      <c r="A102" s="15"/>
      <c r="B102" s="15"/>
      <c r="C102" s="15"/>
      <c r="D102" s="15"/>
      <c r="E102" s="15"/>
      <c r="F102" s="15"/>
    </row>
    <row r="103" spans="1:6" s="12" customFormat="1" ht="18.75" x14ac:dyDescent="0.3">
      <c r="A103" s="15"/>
      <c r="B103" s="15"/>
      <c r="C103" s="15"/>
      <c r="D103" s="15"/>
      <c r="E103" s="15"/>
      <c r="F103" s="15"/>
    </row>
    <row r="104" spans="1:6" s="12" customFormat="1" ht="18.75" x14ac:dyDescent="0.3">
      <c r="A104" s="15"/>
      <c r="B104" s="15"/>
      <c r="C104" s="15"/>
      <c r="D104" s="15"/>
      <c r="E104" s="15"/>
      <c r="F104" s="15"/>
    </row>
    <row r="105" spans="1:6" s="12" customFormat="1" ht="18.75" x14ac:dyDescent="0.3">
      <c r="A105" s="15"/>
      <c r="B105" s="15"/>
      <c r="C105" s="15"/>
      <c r="D105" s="15"/>
      <c r="E105" s="15"/>
      <c r="F105" s="15"/>
    </row>
    <row r="106" spans="1:6" s="12" customFormat="1" ht="18.75" x14ac:dyDescent="0.3">
      <c r="A106" s="15"/>
      <c r="B106" s="15"/>
      <c r="C106" s="15"/>
      <c r="D106" s="15"/>
      <c r="E106" s="15"/>
      <c r="F106" s="15"/>
    </row>
    <row r="107" spans="1:6" s="12" customFormat="1" ht="18.75" x14ac:dyDescent="0.3">
      <c r="A107" s="15"/>
      <c r="B107" s="15"/>
      <c r="C107" s="15"/>
      <c r="D107" s="15"/>
      <c r="E107" s="15"/>
      <c r="F107" s="15"/>
    </row>
    <row r="108" spans="1:6" s="12" customFormat="1" ht="18.75" x14ac:dyDescent="0.3">
      <c r="A108" s="15"/>
      <c r="B108" s="15"/>
      <c r="C108" s="15"/>
      <c r="D108" s="15"/>
      <c r="E108" s="15"/>
      <c r="F108" s="15"/>
    </row>
    <row r="109" spans="1:6" s="12" customFormat="1" ht="18.75" x14ac:dyDescent="0.3">
      <c r="A109" s="15"/>
      <c r="B109" s="15"/>
      <c r="C109" s="15"/>
      <c r="D109" s="15"/>
      <c r="E109" s="15"/>
      <c r="F109" s="15"/>
    </row>
    <row r="110" spans="1:6" ht="18" x14ac:dyDescent="0.25">
      <c r="A110" s="16"/>
      <c r="B110" s="16"/>
      <c r="C110" s="16"/>
      <c r="D110" s="16"/>
      <c r="E110" s="16"/>
      <c r="F110" s="16"/>
    </row>
    <row r="111" spans="1:6" ht="18" x14ac:dyDescent="0.25">
      <c r="A111" s="16"/>
      <c r="B111" s="16"/>
      <c r="C111" s="16"/>
      <c r="D111" s="16"/>
      <c r="E111" s="16"/>
      <c r="F111" s="16"/>
    </row>
    <row r="112" spans="1:6" ht="18" x14ac:dyDescent="0.25">
      <c r="A112" s="16"/>
      <c r="B112" s="16"/>
      <c r="C112" s="16"/>
      <c r="D112" s="16"/>
      <c r="E112" s="16"/>
      <c r="F112" s="16"/>
    </row>
    <row r="113" spans="1:6" ht="18" x14ac:dyDescent="0.25">
      <c r="A113" s="16"/>
      <c r="B113" s="16"/>
      <c r="C113" s="16"/>
      <c r="D113" s="16"/>
      <c r="E113" s="16"/>
      <c r="F113" s="16"/>
    </row>
    <row r="114" spans="1:6" ht="18" x14ac:dyDescent="0.25">
      <c r="A114" s="16"/>
      <c r="B114" s="16"/>
      <c r="C114" s="16"/>
      <c r="D114" s="16"/>
      <c r="E114" s="16"/>
      <c r="F114" s="16"/>
    </row>
    <row r="115" spans="1:6" ht="18" x14ac:dyDescent="0.25">
      <c r="A115" s="16"/>
      <c r="B115" s="16"/>
      <c r="C115" s="16"/>
      <c r="D115" s="16"/>
      <c r="E115" s="16"/>
      <c r="F115" s="16"/>
    </row>
  </sheetData>
  <mergeCells count="31">
    <mergeCell ref="A15:F15"/>
    <mergeCell ref="B32:F32"/>
    <mergeCell ref="B40:F40"/>
    <mergeCell ref="B8:F8"/>
    <mergeCell ref="A10:B10"/>
    <mergeCell ref="C10:F10"/>
    <mergeCell ref="A11:B11"/>
    <mergeCell ref="E13:F13"/>
    <mergeCell ref="D1:F1"/>
    <mergeCell ref="D2:F2"/>
    <mergeCell ref="D3:F3"/>
    <mergeCell ref="D4:F4"/>
    <mergeCell ref="D5:F5"/>
    <mergeCell ref="A68:F72"/>
    <mergeCell ref="A73:F73"/>
    <mergeCell ref="A74:F74"/>
    <mergeCell ref="A75:F75"/>
    <mergeCell ref="B60:F60"/>
    <mergeCell ref="B61:F61"/>
    <mergeCell ref="B62:F62"/>
    <mergeCell ref="B63:F63"/>
    <mergeCell ref="B64:F64"/>
    <mergeCell ref="A67:F67"/>
    <mergeCell ref="B59:F59"/>
    <mergeCell ref="B18:F18"/>
    <mergeCell ref="B26:F26"/>
    <mergeCell ref="B47:F47"/>
    <mergeCell ref="B50:F50"/>
    <mergeCell ref="B52:F52"/>
    <mergeCell ref="B54:F54"/>
    <mergeCell ref="B56:F56"/>
  </mergeCells>
  <hyperlinks>
    <hyperlink ref="D4" r:id="rId1"/>
    <hyperlink ref="D5" r:id="rId2"/>
  </hyperlinks>
  <printOptions horizontalCentered="1"/>
  <pageMargins left="0.7" right="0.7" top="0.75" bottom="0.75" header="0.3" footer="0.3"/>
  <pageSetup scale="48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36" zoomScale="58" zoomScaleNormal="58" workbookViewId="0">
      <selection activeCell="H109" sqref="H109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4.5703125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K3" s="17"/>
      <c r="L3" s="17"/>
    </row>
    <row r="4" spans="1:14" x14ac:dyDescent="0.25">
      <c r="A4" s="20" t="s">
        <v>12</v>
      </c>
      <c r="K4" s="17"/>
      <c r="L4" s="17"/>
    </row>
    <row r="5" spans="1:14" x14ac:dyDescent="0.25">
      <c r="A5" s="20" t="s">
        <v>13</v>
      </c>
      <c r="K5" s="17"/>
      <c r="L5" s="17"/>
    </row>
    <row r="6" spans="1:14" x14ac:dyDescent="0.25"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ht="15.6" customHeight="1" x14ac:dyDescent="0.25">
      <c r="A9" s="270" t="s">
        <v>204</v>
      </c>
      <c r="B9" s="271"/>
      <c r="C9" s="271"/>
      <c r="D9" s="272"/>
      <c r="E9" s="23" t="s">
        <v>30</v>
      </c>
      <c r="F9" s="23">
        <v>2</v>
      </c>
      <c r="G9" s="24">
        <v>331</v>
      </c>
      <c r="H9" s="25">
        <f>G9*F9</f>
        <v>662</v>
      </c>
      <c r="I9" s="17"/>
      <c r="J9" s="18" t="s">
        <v>20</v>
      </c>
      <c r="K9" s="26"/>
      <c r="L9" s="26" t="s">
        <v>178</v>
      </c>
      <c r="M9" s="26">
        <v>801</v>
      </c>
      <c r="N9" s="26"/>
    </row>
    <row r="10" spans="1:14" x14ac:dyDescent="0.25">
      <c r="A10" s="236" t="s">
        <v>205</v>
      </c>
      <c r="B10" s="237"/>
      <c r="C10" s="237"/>
      <c r="D10" s="238"/>
      <c r="E10" s="23" t="s">
        <v>206</v>
      </c>
      <c r="F10" s="164">
        <v>2</v>
      </c>
      <c r="G10" s="25">
        <v>60</v>
      </c>
      <c r="H10" s="25">
        <f t="shared" ref="H10:H15" si="0">G10*F10</f>
        <v>120</v>
      </c>
      <c r="I10" s="27"/>
      <c r="J10" s="18" t="s">
        <v>21</v>
      </c>
      <c r="K10" s="26"/>
      <c r="L10" s="26" t="s">
        <v>179</v>
      </c>
      <c r="M10" s="26">
        <v>1750</v>
      </c>
      <c r="N10" s="26"/>
    </row>
    <row r="11" spans="1:14" x14ac:dyDescent="0.25">
      <c r="A11" s="236" t="s">
        <v>210</v>
      </c>
      <c r="B11" s="237"/>
      <c r="C11" s="237"/>
      <c r="D11" s="238"/>
      <c r="E11" s="23" t="s">
        <v>82</v>
      </c>
      <c r="F11" s="164">
        <v>1</v>
      </c>
      <c r="G11" s="25">
        <v>200</v>
      </c>
      <c r="H11" s="25">
        <f t="shared" si="0"/>
        <v>200</v>
      </c>
      <c r="I11" s="27"/>
      <c r="J11" s="18" t="s">
        <v>22</v>
      </c>
      <c r="K11" s="26"/>
      <c r="L11" s="26" t="s">
        <v>180</v>
      </c>
      <c r="M11" s="26">
        <v>1860</v>
      </c>
      <c r="N11" s="26"/>
    </row>
    <row r="12" spans="1:14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K12" s="26"/>
      <c r="L12" s="26"/>
      <c r="M12" s="26"/>
      <c r="N12" s="26"/>
    </row>
    <row r="13" spans="1:14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K13" s="26"/>
      <c r="L13" s="26"/>
      <c r="M13" s="26"/>
      <c r="N13" s="26"/>
    </row>
    <row r="14" spans="1:14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K14" s="26"/>
      <c r="L14" s="26"/>
      <c r="M14" s="26"/>
      <c r="N14" s="26"/>
    </row>
    <row r="15" spans="1:14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K15" s="26"/>
      <c r="L15" s="26"/>
      <c r="M15" s="26"/>
      <c r="N15" s="26"/>
    </row>
    <row r="16" spans="1:14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982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f t="shared" si="3"/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f t="shared" si="3"/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1">
        <v>0</v>
      </c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f t="shared" si="3"/>
        <v>0</v>
      </c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4</v>
      </c>
      <c r="G36" s="41">
        <v>75.069999999999993</v>
      </c>
      <c r="H36" s="41">
        <f t="shared" si="4"/>
        <v>300.27999999999997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300.27999999999997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300.27999999999997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18.016799999999996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10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16.48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180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1</v>
      </c>
      <c r="G70" s="71">
        <v>650</v>
      </c>
      <c r="H70" s="60">
        <f>F70*G70</f>
        <v>650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650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1</v>
      </c>
      <c r="G74" s="71">
        <v>900</v>
      </c>
      <c r="H74" s="60">
        <f>F74*G74</f>
        <v>900</v>
      </c>
      <c r="I74" s="22"/>
    </row>
    <row r="75" spans="1:14" x14ac:dyDescent="0.25">
      <c r="G75" s="157" t="s">
        <v>105</v>
      </c>
      <c r="H75" s="76">
        <f>SUM(H74)</f>
        <v>900</v>
      </c>
      <c r="I75" s="22"/>
    </row>
    <row r="76" spans="1:14" x14ac:dyDescent="0.25">
      <c r="G76" s="157" t="s">
        <v>106</v>
      </c>
      <c r="H76" s="76">
        <f>H56+H61+H66+H71+H75+H45+H44+H17</f>
        <v>2850.2968000000001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3" t="s">
        <v>110</v>
      </c>
      <c r="B79" s="244"/>
      <c r="C79" s="244"/>
      <c r="D79" s="244"/>
      <c r="E79" s="99" t="s">
        <v>111</v>
      </c>
      <c r="F79" s="100"/>
      <c r="G79" s="101">
        <v>2200</v>
      </c>
      <c r="H79" s="102">
        <f>(F79*G79)</f>
        <v>0</v>
      </c>
      <c r="I79" s="167"/>
      <c r="J79" s="168"/>
      <c r="K79" s="169"/>
      <c r="L79" s="88"/>
    </row>
    <row r="80" spans="1:14" ht="0.75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</row>
    <row r="82" spans="1:26" x14ac:dyDescent="0.25">
      <c r="A82" s="243" t="s">
        <v>114</v>
      </c>
      <c r="B82" s="244"/>
      <c r="C82" s="244"/>
      <c r="D82" s="244"/>
      <c r="E82" s="99" t="s">
        <v>111</v>
      </c>
      <c r="F82" s="100"/>
      <c r="G82" s="101">
        <v>15200</v>
      </c>
      <c r="H82" s="102">
        <f t="shared" si="11"/>
        <v>0</v>
      </c>
      <c r="I82" s="167"/>
      <c r="J82" s="168"/>
      <c r="K82" s="169"/>
      <c r="L82" s="88"/>
    </row>
    <row r="83" spans="1:26" s="43" customFormat="1" x14ac:dyDescent="0.25">
      <c r="A83" s="243" t="s">
        <v>115</v>
      </c>
      <c r="B83" s="244"/>
      <c r="C83" s="244"/>
      <c r="D83" s="244"/>
      <c r="E83" s="99" t="s">
        <v>111</v>
      </c>
      <c r="F83" s="100"/>
      <c r="G83" s="101">
        <v>2200</v>
      </c>
      <c r="H83" s="102">
        <f t="shared" si="11"/>
        <v>0</v>
      </c>
      <c r="I83" s="167"/>
      <c r="J83" s="168"/>
      <c r="K83" s="169"/>
      <c r="L83" s="107"/>
      <c r="Z83" s="44"/>
    </row>
    <row r="84" spans="1:26" s="43" customFormat="1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107"/>
      <c r="Z84" s="44"/>
    </row>
    <row r="85" spans="1:26" s="43" customFormat="1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107"/>
      <c r="Z85" s="44"/>
    </row>
    <row r="86" spans="1:26" s="43" customFormat="1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107"/>
      <c r="Z86" s="44"/>
    </row>
    <row r="87" spans="1:26" s="43" customFormat="1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107"/>
      <c r="Z87" s="44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11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</row>
    <row r="98" spans="1:14" ht="16.5" thickBot="1" x14ac:dyDescent="0.3">
      <c r="A98" s="243" t="s">
        <v>130</v>
      </c>
      <c r="B98" s="244"/>
      <c r="C98" s="244"/>
      <c r="D98" s="244"/>
      <c r="E98" s="99" t="s">
        <v>111</v>
      </c>
      <c r="F98" s="100"/>
      <c r="G98" s="101">
        <v>383.5</v>
      </c>
      <c r="H98" s="102">
        <f t="shared" si="11"/>
        <v>0</v>
      </c>
      <c r="I98" s="170"/>
      <c r="J98" s="171"/>
      <c r="K98" s="17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2850.2968000000001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285.02968000000004</v>
      </c>
      <c r="I103" s="128">
        <f>(M109*100)/H103</f>
        <v>-113.24030616881714</v>
      </c>
      <c r="J103" s="40">
        <f>H103-M109</f>
        <v>607.79816230399979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3135.3264800000002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188.1195888</v>
      </c>
      <c r="I106" s="136">
        <f>H106+[1]Part.2!H84+[1]Part.3!H84+[1]Part.4!H84+[1]part.5!H84+[1]traslado!H66</f>
        <v>398.33163359638013</v>
      </c>
      <c r="J106" s="133" t="s">
        <v>139</v>
      </c>
      <c r="K106" s="60">
        <f>+H17</f>
        <v>982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3323.4460688000004</v>
      </c>
      <c r="I107" s="133"/>
      <c r="J107" s="133" t="s">
        <v>141</v>
      </c>
      <c r="K107" s="60">
        <f>H44</f>
        <v>300.27999999999997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332.34460688000007</v>
      </c>
      <c r="I108" s="133"/>
      <c r="J108" s="133" t="s">
        <v>143</v>
      </c>
      <c r="K108" s="60">
        <f>H76-H56</f>
        <v>2850.2968000000001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3655.7906756800003</v>
      </c>
      <c r="I109" s="40"/>
      <c r="J109" s="139" t="s">
        <v>74</v>
      </c>
      <c r="K109" s="60">
        <f>SUM(K106:K108)</f>
        <v>4132.5767999999998</v>
      </c>
      <c r="L109" s="140">
        <f>H109-H108-(H103*0.7)-K109</f>
        <v>-1008.6515071999993</v>
      </c>
      <c r="M109" s="136">
        <f>0.32*L109</f>
        <v>-322.7684823039998</v>
      </c>
      <c r="N109" s="58"/>
    </row>
    <row r="110" spans="1:14" x14ac:dyDescent="0.25">
      <c r="F110" s="160"/>
      <c r="G110" s="141"/>
      <c r="H110" s="40"/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/>
      <c r="G111" s="144"/>
      <c r="H111" s="40"/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2">
    <mergeCell ref="A11:D11"/>
    <mergeCell ref="A1:H1"/>
    <mergeCell ref="A2:H2"/>
    <mergeCell ref="A8:D8"/>
    <mergeCell ref="A9:D9"/>
    <mergeCell ref="A10:D10"/>
    <mergeCell ref="A24:D24"/>
    <mergeCell ref="A12:D12"/>
    <mergeCell ref="A13:D13"/>
    <mergeCell ref="A14:D14"/>
    <mergeCell ref="A15:D15"/>
    <mergeCell ref="A16:D16"/>
    <mergeCell ref="V19:X19"/>
    <mergeCell ref="A20:D20"/>
    <mergeCell ref="A21:D21"/>
    <mergeCell ref="A22:D22"/>
    <mergeCell ref="A23:D23"/>
    <mergeCell ref="O19:U19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J68:K68"/>
    <mergeCell ref="A69:D69"/>
    <mergeCell ref="A52:D52"/>
    <mergeCell ref="A53:D53"/>
    <mergeCell ref="A54:D54"/>
    <mergeCell ref="A55:D55"/>
    <mergeCell ref="A58:D58"/>
    <mergeCell ref="A59:D59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zoomScale="39" zoomScaleNormal="39" workbookViewId="0">
      <selection sqref="A1:X117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1.7109375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1" width="6.7109375" style="18" customWidth="1"/>
    <col min="22" max="22" width="17.140625" style="18" customWidth="1"/>
    <col min="23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C3" s="19"/>
      <c r="J3" s="58"/>
      <c r="K3" s="17"/>
      <c r="L3" s="17"/>
    </row>
    <row r="4" spans="1:14" x14ac:dyDescent="0.25">
      <c r="A4" s="20" t="s">
        <v>12</v>
      </c>
      <c r="B4" s="43"/>
      <c r="C4" s="37"/>
      <c r="D4" s="43"/>
      <c r="J4" s="58"/>
      <c r="K4" s="17"/>
      <c r="L4" s="17"/>
    </row>
    <row r="5" spans="1:14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</row>
    <row r="6" spans="1:14" x14ac:dyDescent="0.25">
      <c r="J6" s="58"/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1"/>
      <c r="B9" s="282"/>
      <c r="C9" s="282"/>
      <c r="D9" s="283"/>
      <c r="E9" s="23" t="s">
        <v>19</v>
      </c>
      <c r="F9" s="23">
        <v>1</v>
      </c>
      <c r="G9" s="24">
        <v>0</v>
      </c>
      <c r="H9" s="25">
        <f>G9</f>
        <v>0</v>
      </c>
      <c r="I9" s="17"/>
      <c r="J9" s="18" t="s">
        <v>20</v>
      </c>
      <c r="K9" s="26"/>
      <c r="L9" s="26"/>
      <c r="M9" s="26"/>
      <c r="N9" s="26"/>
    </row>
    <row r="10" spans="1:14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</row>
    <row r="12" spans="1:14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K12" s="26"/>
      <c r="L12" s="26"/>
      <c r="M12" s="26"/>
      <c r="N12" s="26"/>
    </row>
    <row r="13" spans="1:14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K13" s="26"/>
      <c r="L13" s="26"/>
      <c r="M13" s="26"/>
      <c r="N13" s="26"/>
    </row>
    <row r="14" spans="1:14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K14" s="26"/>
      <c r="L14" s="26"/>
      <c r="M14" s="26"/>
      <c r="N14" s="26"/>
    </row>
    <row r="15" spans="1:14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K15" s="26"/>
      <c r="L15" s="26"/>
      <c r="M15" s="26"/>
      <c r="N15" s="26"/>
    </row>
    <row r="16" spans="1:14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0">
        <v>4</v>
      </c>
      <c r="G24" s="45">
        <v>237</v>
      </c>
      <c r="H24" s="46">
        <f t="shared" si="2"/>
        <v>948</v>
      </c>
      <c r="I24" s="161">
        <f t="shared" si="3"/>
        <v>0</v>
      </c>
      <c r="J24" s="47">
        <f t="shared" si="0"/>
        <v>355.5</v>
      </c>
      <c r="K24" s="47">
        <f t="shared" si="4"/>
        <v>0</v>
      </c>
      <c r="L24" s="45">
        <f t="shared" si="5"/>
        <v>0</v>
      </c>
      <c r="M24" s="47">
        <f t="shared" si="1"/>
        <v>533.25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16</v>
      </c>
      <c r="G25" s="41">
        <v>209.25</v>
      </c>
      <c r="H25" s="39">
        <f t="shared" si="2"/>
        <v>3348</v>
      </c>
      <c r="I25" s="160">
        <v>6</v>
      </c>
      <c r="J25" s="40">
        <f t="shared" si="0"/>
        <v>313.875</v>
      </c>
      <c r="K25" s="40">
        <f t="shared" si="4"/>
        <v>1883.25</v>
      </c>
      <c r="L25" s="41">
        <f t="shared" si="5"/>
        <v>0</v>
      </c>
      <c r="M25" s="40">
        <f t="shared" si="1"/>
        <v>470.8125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0">
        <v>16</v>
      </c>
      <c r="G27" s="45">
        <v>190.22</v>
      </c>
      <c r="H27" s="46">
        <f t="shared" si="2"/>
        <v>3043.52</v>
      </c>
      <c r="I27" s="161">
        <v>6</v>
      </c>
      <c r="J27" s="47">
        <f t="shared" si="0"/>
        <v>285.33</v>
      </c>
      <c r="K27" s="47">
        <f t="shared" si="4"/>
        <v>1711.98</v>
      </c>
      <c r="L27" s="45">
        <f t="shared" si="5"/>
        <v>0</v>
      </c>
      <c r="M27" s="47">
        <f t="shared" si="1"/>
        <v>427.995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  <c r="Y27" s="43"/>
      <c r="Z27" s="44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  <c r="Y28" s="43"/>
      <c r="Z28" s="44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  <c r="Z31" s="44"/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  <c r="Z37" s="50"/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U38" s="42"/>
      <c r="V38" s="42"/>
      <c r="W38" s="42"/>
      <c r="X38" s="42"/>
      <c r="Z38" s="44"/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  <c r="Y39" s="43"/>
      <c r="Z39" s="44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7339.52</v>
      </c>
      <c r="I43" s="60"/>
      <c r="J43" s="28" t="s">
        <v>66</v>
      </c>
      <c r="K43" s="28">
        <f>SUM(K22:K41)</f>
        <v>3595.23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10934.75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656.08499999999992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/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11590.834999999999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3" t="s">
        <v>110</v>
      </c>
      <c r="B79" s="244"/>
      <c r="C79" s="244"/>
      <c r="D79" s="244"/>
      <c r="E79" s="99" t="s">
        <v>111</v>
      </c>
      <c r="F79" s="100">
        <v>0.5</v>
      </c>
      <c r="G79" s="101">
        <v>2200</v>
      </c>
      <c r="H79" s="102">
        <f>(F79*G79)</f>
        <v>1100</v>
      </c>
      <c r="I79" s="167"/>
      <c r="J79" s="168"/>
      <c r="K79" s="169"/>
      <c r="L79" s="88"/>
    </row>
    <row r="80" spans="1:14" ht="21" customHeight="1" x14ac:dyDescent="0.25">
      <c r="A80" s="243" t="s">
        <v>112</v>
      </c>
      <c r="B80" s="244"/>
      <c r="C80" s="244"/>
      <c r="D80" s="244"/>
      <c r="E80" s="99" t="s">
        <v>111</v>
      </c>
      <c r="F80" s="100">
        <v>0.5</v>
      </c>
      <c r="G80" s="101">
        <v>2000</v>
      </c>
      <c r="H80" s="102">
        <f t="shared" ref="H80:H97" si="9">(F80*G80)</f>
        <v>1000</v>
      </c>
      <c r="I80" s="167"/>
      <c r="J80" s="168"/>
      <c r="K80" s="169"/>
      <c r="L80" s="88"/>
    </row>
    <row r="81" spans="1:26" x14ac:dyDescent="0.25">
      <c r="A81" s="245" t="s">
        <v>113</v>
      </c>
      <c r="B81" s="246"/>
      <c r="C81" s="246"/>
      <c r="D81" s="246"/>
      <c r="E81" s="23" t="s">
        <v>111</v>
      </c>
      <c r="F81" s="70">
        <v>0</v>
      </c>
      <c r="G81" s="73">
        <v>7000</v>
      </c>
      <c r="H81" s="105">
        <f t="shared" si="9"/>
        <v>0</v>
      </c>
      <c r="I81" s="103"/>
      <c r="J81" s="97"/>
      <c r="K81" s="98"/>
      <c r="L81" s="88"/>
    </row>
    <row r="82" spans="1:26" x14ac:dyDescent="0.25">
      <c r="A82" s="243" t="s">
        <v>114</v>
      </c>
      <c r="B82" s="244"/>
      <c r="C82" s="244"/>
      <c r="D82" s="244"/>
      <c r="E82" s="99" t="s">
        <v>111</v>
      </c>
      <c r="F82" s="100">
        <v>0.3</v>
      </c>
      <c r="G82" s="101">
        <v>15200</v>
      </c>
      <c r="H82" s="102">
        <f t="shared" si="9"/>
        <v>4560</v>
      </c>
      <c r="I82" s="167"/>
      <c r="J82" s="168"/>
      <c r="K82" s="169"/>
      <c r="L82" s="88"/>
    </row>
    <row r="83" spans="1:26" x14ac:dyDescent="0.25">
      <c r="A83" s="243" t="s">
        <v>115</v>
      </c>
      <c r="B83" s="244"/>
      <c r="C83" s="244"/>
      <c r="D83" s="244"/>
      <c r="E83" s="99" t="s">
        <v>111</v>
      </c>
      <c r="F83" s="100">
        <v>0.3</v>
      </c>
      <c r="G83" s="101">
        <v>2200</v>
      </c>
      <c r="H83" s="102">
        <f t="shared" si="9"/>
        <v>660</v>
      </c>
      <c r="I83" s="167"/>
      <c r="J83" s="168"/>
      <c r="K83" s="169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>
        <v>0.3</v>
      </c>
      <c r="G84" s="73">
        <v>2000</v>
      </c>
      <c r="H84" s="105">
        <f t="shared" si="9"/>
        <v>600</v>
      </c>
      <c r="I84" s="103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>
        <v>0.3</v>
      </c>
      <c r="G89" s="80">
        <v>2500</v>
      </c>
      <c r="H89" s="95">
        <f t="shared" si="9"/>
        <v>750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1</v>
      </c>
      <c r="G98" s="80">
        <v>383.5</v>
      </c>
      <c r="H98" s="156">
        <f>(F98*G98)</f>
        <v>383.5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9053.5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20644.334999999999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2064.4335000000001</v>
      </c>
      <c r="I103" s="128">
        <f>(M109*100)/H103</f>
        <v>1.5594578948655791</v>
      </c>
      <c r="J103" s="40">
        <f>H103-M109</f>
        <v>2032.2395288000002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22708.768499999998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1362.5261099999998</v>
      </c>
      <c r="I106" s="136">
        <f>H106+[1]Part.2!H84+[1]Part.3!H84+[1]Part.4!H84+[1]part.5!H84+[1]traslado!H66</f>
        <v>1572.7381547963798</v>
      </c>
      <c r="J106" s="133" t="s">
        <v>139</v>
      </c>
      <c r="K106" s="60">
        <f>+H17</f>
        <v>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24071.294609999997</v>
      </c>
      <c r="I107" s="133"/>
      <c r="J107" s="133" t="s">
        <v>141</v>
      </c>
      <c r="K107" s="60">
        <f>H44</f>
        <v>10934.75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2407.129461</v>
      </c>
      <c r="I108" s="133"/>
      <c r="J108" s="133" t="s">
        <v>143</v>
      </c>
      <c r="K108" s="60">
        <f>H76-H56</f>
        <v>11590.834999999999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26478.424070999998</v>
      </c>
      <c r="I109" s="40"/>
      <c r="J109" s="139" t="s">
        <v>74</v>
      </c>
      <c r="K109" s="60">
        <f>SUM(K106:K108)</f>
        <v>22525.584999999999</v>
      </c>
      <c r="L109" s="140">
        <f>H109-H108-(H103*0.7)-K109</f>
        <v>100.60615999999936</v>
      </c>
      <c r="M109" s="136">
        <f>0.32*L109</f>
        <v>32.193971199999794</v>
      </c>
      <c r="N109" s="58"/>
    </row>
    <row r="110" spans="1:14" x14ac:dyDescent="0.25">
      <c r="F110" s="160" t="s">
        <v>151</v>
      </c>
      <c r="G110" s="141"/>
      <c r="H110" s="154">
        <f>' INTERRUPTOR MAT.'!H109</f>
        <v>3655.7906756800003</v>
      </c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 t="s">
        <v>152</v>
      </c>
      <c r="G111" s="144"/>
      <c r="H111" s="155">
        <f>H109+H110</f>
        <v>30134.214746679998</v>
      </c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3">
    <mergeCell ref="A10:D10"/>
    <mergeCell ref="A1:H1"/>
    <mergeCell ref="A2:H2"/>
    <mergeCell ref="B5:J5"/>
    <mergeCell ref="A8:D8"/>
    <mergeCell ref="A9:D9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0:D50"/>
    <mergeCell ref="A36:D36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J68:K68"/>
    <mergeCell ref="A51:D51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85:D85"/>
    <mergeCell ref="A69:D69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97:D97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I101:I102"/>
    <mergeCell ref="J101:J102"/>
    <mergeCell ref="K101:K102"/>
    <mergeCell ref="N101:N1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100" zoomScale="56" zoomScaleNormal="56" workbookViewId="0">
      <selection activeCell="J119" sqref="J119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K3" s="17"/>
      <c r="L3" s="17"/>
    </row>
    <row r="4" spans="1:14" x14ac:dyDescent="0.25">
      <c r="A4" s="20" t="s">
        <v>12</v>
      </c>
      <c r="K4" s="17"/>
      <c r="L4" s="17"/>
    </row>
    <row r="5" spans="1:14" x14ac:dyDescent="0.25">
      <c r="A5" s="20" t="s">
        <v>13</v>
      </c>
      <c r="K5" s="17"/>
      <c r="L5" s="17"/>
    </row>
    <row r="6" spans="1:14" x14ac:dyDescent="0.25"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4" t="s">
        <v>198</v>
      </c>
      <c r="B9" s="285"/>
      <c r="C9" s="285"/>
      <c r="D9" s="286"/>
      <c r="E9" s="23" t="s">
        <v>19</v>
      </c>
      <c r="F9" s="23">
        <v>1</v>
      </c>
      <c r="G9" s="24">
        <v>2813</v>
      </c>
      <c r="H9" s="25">
        <f>G9*F9</f>
        <v>2813</v>
      </c>
      <c r="I9" s="17"/>
      <c r="J9" s="18" t="s">
        <v>20</v>
      </c>
      <c r="K9" s="26"/>
      <c r="L9" s="26"/>
      <c r="M9" s="26"/>
      <c r="N9" s="26"/>
    </row>
    <row r="10" spans="1:14" x14ac:dyDescent="0.25">
      <c r="A10" s="234" t="s">
        <v>199</v>
      </c>
      <c r="B10" s="234"/>
      <c r="C10" s="234"/>
      <c r="D10" s="234"/>
      <c r="E10" s="23" t="s">
        <v>19</v>
      </c>
      <c r="F10" s="164">
        <v>0</v>
      </c>
      <c r="G10" s="25">
        <v>2997.44</v>
      </c>
      <c r="H10" s="25">
        <f t="shared" ref="H10:H15" si="0">G10*F10</f>
        <v>0</v>
      </c>
      <c r="I10" s="27"/>
      <c r="J10" s="18" t="s">
        <v>21</v>
      </c>
      <c r="K10" s="26"/>
      <c r="L10" s="26"/>
      <c r="M10" s="26"/>
      <c r="N10" s="26"/>
    </row>
    <row r="11" spans="1:14" x14ac:dyDescent="0.25">
      <c r="A11" s="236" t="s">
        <v>200</v>
      </c>
      <c r="B11" s="237"/>
      <c r="C11" s="237"/>
      <c r="D11" s="238"/>
      <c r="E11" s="23" t="s">
        <v>19</v>
      </c>
      <c r="F11" s="164">
        <v>1</v>
      </c>
      <c r="G11" s="25">
        <v>1656</v>
      </c>
      <c r="H11" s="25">
        <f t="shared" si="0"/>
        <v>1656</v>
      </c>
      <c r="I11" s="27"/>
      <c r="J11" s="18" t="s">
        <v>22</v>
      </c>
      <c r="K11" s="26"/>
      <c r="L11" s="26"/>
      <c r="M11" s="26"/>
      <c r="N11" s="26"/>
    </row>
    <row r="12" spans="1:14" x14ac:dyDescent="0.25">
      <c r="A12" s="236" t="s">
        <v>201</v>
      </c>
      <c r="B12" s="237"/>
      <c r="C12" s="237"/>
      <c r="D12" s="238"/>
      <c r="E12" s="23" t="s">
        <v>19</v>
      </c>
      <c r="F12" s="164">
        <v>1</v>
      </c>
      <c r="G12" s="25">
        <v>50</v>
      </c>
      <c r="H12" s="25">
        <f t="shared" si="0"/>
        <v>50</v>
      </c>
      <c r="I12" s="27"/>
      <c r="K12" s="26"/>
      <c r="L12" s="26"/>
      <c r="M12" s="26"/>
      <c r="N12" s="26"/>
    </row>
    <row r="13" spans="1:14" x14ac:dyDescent="0.25">
      <c r="A13" s="236" t="s">
        <v>214</v>
      </c>
      <c r="B13" s="237"/>
      <c r="C13" s="237"/>
      <c r="D13" s="238"/>
      <c r="E13" s="23" t="s">
        <v>19</v>
      </c>
      <c r="F13" s="164">
        <v>1</v>
      </c>
      <c r="G13" s="25">
        <v>70</v>
      </c>
      <c r="H13" s="25">
        <f t="shared" si="0"/>
        <v>70</v>
      </c>
      <c r="I13" s="27"/>
      <c r="K13" s="26"/>
      <c r="L13" s="26"/>
      <c r="M13" s="26"/>
      <c r="N13" s="26"/>
    </row>
    <row r="14" spans="1:14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K14" s="26"/>
      <c r="L14" s="26"/>
      <c r="M14" s="26"/>
      <c r="N14" s="26"/>
    </row>
    <row r="15" spans="1:14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K15" s="26"/>
      <c r="L15" s="26"/>
      <c r="M15" s="26"/>
      <c r="N15" s="26"/>
    </row>
    <row r="16" spans="1:14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4589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f t="shared" si="3"/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f t="shared" si="3"/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1">
        <v>0</v>
      </c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f t="shared" si="3"/>
        <v>0</v>
      </c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10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16.48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180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4589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5" t="s">
        <v>110</v>
      </c>
      <c r="B79" s="246"/>
      <c r="C79" s="246"/>
      <c r="D79" s="246"/>
      <c r="E79" s="23" t="s">
        <v>111</v>
      </c>
      <c r="F79" s="70"/>
      <c r="G79" s="73">
        <v>2200</v>
      </c>
      <c r="H79" s="105">
        <f>(F79*G79)</f>
        <v>0</v>
      </c>
      <c r="I79" s="103"/>
      <c r="J79" s="97"/>
      <c r="K79" s="98"/>
      <c r="L79" s="88"/>
    </row>
    <row r="80" spans="1:14" ht="0.75" customHeight="1" x14ac:dyDescent="0.25">
      <c r="A80" s="245" t="s">
        <v>112</v>
      </c>
      <c r="B80" s="246"/>
      <c r="C80" s="246"/>
      <c r="D80" s="246"/>
      <c r="E80" s="23" t="s">
        <v>111</v>
      </c>
      <c r="F80" s="70"/>
      <c r="G80" s="73">
        <v>2000</v>
      </c>
      <c r="H80" s="105">
        <f t="shared" ref="H80:H98" si="11">(F80*G80)</f>
        <v>0</v>
      </c>
      <c r="I80" s="103"/>
      <c r="J80" s="97"/>
      <c r="K80" s="98"/>
      <c r="L80" s="88"/>
    </row>
    <row r="81" spans="1:26" x14ac:dyDescent="0.25">
      <c r="A81" s="245" t="s">
        <v>113</v>
      </c>
      <c r="B81" s="246"/>
      <c r="C81" s="246"/>
      <c r="D81" s="246"/>
      <c r="E81" s="23" t="s">
        <v>111</v>
      </c>
      <c r="F81" s="70"/>
      <c r="G81" s="73">
        <v>7000</v>
      </c>
      <c r="H81" s="105">
        <f t="shared" si="11"/>
        <v>0</v>
      </c>
      <c r="I81" s="103"/>
      <c r="J81" s="97"/>
      <c r="K81" s="98"/>
      <c r="L81" s="88"/>
    </row>
    <row r="82" spans="1:26" x14ac:dyDescent="0.25">
      <c r="A82" s="245" t="s">
        <v>114</v>
      </c>
      <c r="B82" s="246"/>
      <c r="C82" s="246"/>
      <c r="D82" s="246"/>
      <c r="E82" s="23" t="s">
        <v>111</v>
      </c>
      <c r="F82" s="70"/>
      <c r="G82" s="73">
        <v>15200</v>
      </c>
      <c r="H82" s="105">
        <f t="shared" si="11"/>
        <v>0</v>
      </c>
      <c r="I82" s="103"/>
      <c r="J82" s="97"/>
      <c r="K82" s="98"/>
      <c r="L82" s="88"/>
    </row>
    <row r="83" spans="1:26" s="43" customFormat="1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107"/>
      <c r="Z83" s="44"/>
    </row>
    <row r="84" spans="1:26" s="43" customFormat="1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107"/>
      <c r="Z84" s="44"/>
    </row>
    <row r="85" spans="1:26" s="43" customFormat="1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107"/>
      <c r="Z85" s="44"/>
    </row>
    <row r="86" spans="1:26" s="43" customFormat="1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107"/>
      <c r="Z86" s="44"/>
    </row>
    <row r="87" spans="1:26" s="43" customFormat="1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107"/>
      <c r="Z87" s="44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11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95">
        <f t="shared" si="11"/>
        <v>0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4589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458.90000000000003</v>
      </c>
      <c r="I103" s="128">
        <f>(M109*100)/H103</f>
        <v>-289.27999999999997</v>
      </c>
      <c r="J103" s="40">
        <f>H103-M109</f>
        <v>1786.4059200000002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5047.8999999999996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302.87399999999997</v>
      </c>
      <c r="I106" s="136">
        <f>H106+[1]Part.2!H84+[1]Part.3!H84+[1]Part.4!H84+[1]part.5!H84+[1]traslado!H66</f>
        <v>513.08604479638007</v>
      </c>
      <c r="J106" s="133" t="s">
        <v>139</v>
      </c>
      <c r="K106" s="60">
        <f>+H17</f>
        <v>4589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5350.7739999999994</v>
      </c>
      <c r="I107" s="133"/>
      <c r="J107" s="133" t="s">
        <v>141</v>
      </c>
      <c r="K107" s="60">
        <f>H44</f>
        <v>0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535.07740000000001</v>
      </c>
      <c r="I108" s="133"/>
      <c r="J108" s="133" t="s">
        <v>143</v>
      </c>
      <c r="K108" s="60">
        <f>H76-H56</f>
        <v>4589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5885.8513999999996</v>
      </c>
      <c r="I109" s="40"/>
      <c r="J109" s="139" t="s">
        <v>74</v>
      </c>
      <c r="K109" s="60">
        <f>SUM(K106:K108)</f>
        <v>9178</v>
      </c>
      <c r="L109" s="140">
        <f>H109-H108-(H103*0.7)-K109</f>
        <v>-4148.4560000000001</v>
      </c>
      <c r="M109" s="136">
        <f>0.32*L109</f>
        <v>-1327.5059200000001</v>
      </c>
      <c r="N109" s="58"/>
    </row>
    <row r="110" spans="1:14" x14ac:dyDescent="0.25">
      <c r="F110" s="160"/>
      <c r="G110" s="141"/>
      <c r="H110" s="40"/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/>
      <c r="G111" s="144"/>
      <c r="H111" s="40"/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2">
    <mergeCell ref="A11:D11"/>
    <mergeCell ref="A1:H1"/>
    <mergeCell ref="A2:H2"/>
    <mergeCell ref="A8:D8"/>
    <mergeCell ref="A9:D9"/>
    <mergeCell ref="A10:D10"/>
    <mergeCell ref="A24:D24"/>
    <mergeCell ref="A12:D12"/>
    <mergeCell ref="A13:D13"/>
    <mergeCell ref="A14:D14"/>
    <mergeCell ref="A15:D15"/>
    <mergeCell ref="A16:D16"/>
    <mergeCell ref="V19:X19"/>
    <mergeCell ref="A20:D20"/>
    <mergeCell ref="A21:D21"/>
    <mergeCell ref="A22:D22"/>
    <mergeCell ref="A23:D23"/>
    <mergeCell ref="O19:U19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J68:K68"/>
    <mergeCell ref="A69:D69"/>
    <mergeCell ref="A52:D52"/>
    <mergeCell ref="A53:D53"/>
    <mergeCell ref="A54:D54"/>
    <mergeCell ref="A55:D55"/>
    <mergeCell ref="A58:D58"/>
    <mergeCell ref="A59:D59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</mergeCells>
  <pageMargins left="0.7" right="0.7" top="0.75" bottom="0.75" header="0.3" footer="0.3"/>
  <pageSetup paperSize="9" scale="42" orientation="portrait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93" zoomScale="70" zoomScaleNormal="70" workbookViewId="0">
      <selection activeCell="G25" sqref="G25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C3" s="19"/>
      <c r="J3" s="58"/>
      <c r="K3" s="17"/>
      <c r="L3" s="17"/>
    </row>
    <row r="4" spans="1:14" x14ac:dyDescent="0.25">
      <c r="A4" s="20" t="s">
        <v>12</v>
      </c>
      <c r="B4" s="43"/>
      <c r="C4" s="37"/>
      <c r="D4" s="43"/>
      <c r="J4" s="58"/>
      <c r="K4" s="17"/>
      <c r="L4" s="17"/>
    </row>
    <row r="5" spans="1:14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</row>
    <row r="6" spans="1:14" x14ac:dyDescent="0.25">
      <c r="J6" s="58"/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1"/>
      <c r="B9" s="282"/>
      <c r="C9" s="282"/>
      <c r="D9" s="283"/>
      <c r="E9" s="23" t="s">
        <v>19</v>
      </c>
      <c r="F9" s="23"/>
      <c r="G9" s="24"/>
      <c r="H9" s="25"/>
      <c r="I9" s="17"/>
      <c r="J9" s="18" t="s">
        <v>20</v>
      </c>
      <c r="K9" s="26"/>
      <c r="L9" s="26"/>
      <c r="M9" s="26"/>
      <c r="N9" s="26"/>
    </row>
    <row r="10" spans="1:14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</row>
    <row r="12" spans="1:14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K12" s="26"/>
      <c r="L12" s="26"/>
      <c r="M12" s="26"/>
      <c r="N12" s="26"/>
    </row>
    <row r="13" spans="1:14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K13" s="26"/>
      <c r="L13" s="26"/>
      <c r="M13" s="26"/>
      <c r="N13" s="26"/>
    </row>
    <row r="14" spans="1:14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K14" s="26"/>
      <c r="L14" s="26"/>
      <c r="M14" s="26"/>
      <c r="N14" s="26"/>
    </row>
    <row r="15" spans="1:14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K15" s="26"/>
      <c r="L15" s="26"/>
      <c r="M15" s="26"/>
      <c r="N15" s="26"/>
    </row>
    <row r="16" spans="1:14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0">
        <v>0</v>
      </c>
      <c r="G24" s="45">
        <v>148.16</v>
      </c>
      <c r="H24" s="46">
        <f t="shared" si="2"/>
        <v>0</v>
      </c>
      <c r="I24" s="161">
        <f t="shared" si="3"/>
        <v>0</v>
      </c>
      <c r="J24" s="47">
        <f t="shared" si="0"/>
        <v>222.24</v>
      </c>
      <c r="K24" s="47">
        <f t="shared" si="4"/>
        <v>0</v>
      </c>
      <c r="L24" s="45">
        <f t="shared" si="5"/>
        <v>0</v>
      </c>
      <c r="M24" s="47">
        <f t="shared" si="1"/>
        <v>333.36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4</v>
      </c>
      <c r="G25" s="41">
        <v>136.31</v>
      </c>
      <c r="H25" s="39">
        <f t="shared" si="2"/>
        <v>545.24</v>
      </c>
      <c r="I25" s="160">
        <f t="shared" si="3"/>
        <v>0</v>
      </c>
      <c r="J25" s="40">
        <f t="shared" si="0"/>
        <v>204.465</v>
      </c>
      <c r="K25" s="40">
        <f t="shared" si="4"/>
        <v>0</v>
      </c>
      <c r="L25" s="41">
        <f t="shared" si="5"/>
        <v>0</v>
      </c>
      <c r="M25" s="40">
        <f t="shared" si="1"/>
        <v>306.69749999999999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0">
        <v>0</v>
      </c>
      <c r="G27" s="45">
        <v>126.43</v>
      </c>
      <c r="H27" s="46">
        <f t="shared" si="2"/>
        <v>0</v>
      </c>
      <c r="I27" s="161">
        <f t="shared" si="3"/>
        <v>0</v>
      </c>
      <c r="J27" s="47">
        <f t="shared" si="0"/>
        <v>189.64500000000001</v>
      </c>
      <c r="K27" s="47">
        <f t="shared" si="4"/>
        <v>0</v>
      </c>
      <c r="L27" s="45">
        <f t="shared" si="5"/>
        <v>0</v>
      </c>
      <c r="M27" s="47">
        <f t="shared" si="1"/>
        <v>284.46750000000003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0">
        <v>8</v>
      </c>
      <c r="G33" s="45">
        <v>119</v>
      </c>
      <c r="H33" s="46">
        <f t="shared" si="2"/>
        <v>952</v>
      </c>
      <c r="I33" s="161">
        <f t="shared" si="3"/>
        <v>0</v>
      </c>
      <c r="J33" s="47">
        <f t="shared" si="0"/>
        <v>178.5</v>
      </c>
      <c r="K33" s="47">
        <f t="shared" si="4"/>
        <v>0</v>
      </c>
      <c r="L33" s="45">
        <f t="shared" si="5"/>
        <v>0</v>
      </c>
      <c r="M33" s="47">
        <f t="shared" si="1"/>
        <v>267.75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1497.24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1497.24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89.834400000000002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1587.0744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</row>
    <row r="80" spans="1:14" ht="21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7" si="9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9"/>
        <v>0</v>
      </c>
      <c r="I81" s="96"/>
      <c r="J81" s="97"/>
      <c r="K81" s="98"/>
      <c r="L81" s="88"/>
    </row>
    <row r="82" spans="1:26" x14ac:dyDescent="0.25">
      <c r="A82" s="245" t="s">
        <v>114</v>
      </c>
      <c r="B82" s="246"/>
      <c r="C82" s="246"/>
      <c r="D82" s="246"/>
      <c r="E82" s="23" t="s">
        <v>111</v>
      </c>
      <c r="F82" s="70"/>
      <c r="G82" s="73">
        <v>15200</v>
      </c>
      <c r="H82" s="105">
        <f t="shared" si="9"/>
        <v>0</v>
      </c>
      <c r="I82" s="103"/>
      <c r="J82" s="97"/>
      <c r="K82" s="98"/>
      <c r="L82" s="88"/>
    </row>
    <row r="83" spans="1:26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9"/>
        <v>0</v>
      </c>
      <c r="I83" s="103"/>
      <c r="J83" s="97"/>
      <c r="K83" s="98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9"/>
        <v>0</v>
      </c>
      <c r="I84" s="103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</row>
    <row r="88" spans="1:26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9"/>
        <v>0</v>
      </c>
      <c r="I88" s="106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9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156">
        <f>(F98*G98)</f>
        <v>0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1587.0744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158.70744000000002</v>
      </c>
      <c r="I103" s="128">
        <f>(M109*100)/H103</f>
        <v>-271.16679245283018</v>
      </c>
      <c r="J103" s="40">
        <f>H103-M109</f>
        <v>589.06931443200006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1745.7818400000001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104.7469104</v>
      </c>
      <c r="I106" s="136">
        <f>H106+[1]Part.2!H84+[1]Part.3!H84+[1]Part.4!H84+[1]part.5!H84+[1]traslado!H66</f>
        <v>314.95895519638009</v>
      </c>
      <c r="J106" s="133" t="s">
        <v>139</v>
      </c>
      <c r="K106" s="60">
        <f>+H17</f>
        <v>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1850.5287504</v>
      </c>
      <c r="I107" s="133"/>
      <c r="J107" s="133" t="s">
        <v>141</v>
      </c>
      <c r="K107" s="60">
        <f>H44</f>
        <v>1497.24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0.2</v>
      </c>
      <c r="H108" s="40">
        <f>H107*G108</f>
        <v>370.10575008000001</v>
      </c>
      <c r="I108" s="133"/>
      <c r="J108" s="133" t="s">
        <v>143</v>
      </c>
      <c r="K108" s="60">
        <f>H76-H56</f>
        <v>1587.0744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2220.63450048</v>
      </c>
      <c r="I109" s="40"/>
      <c r="J109" s="139" t="s">
        <v>74</v>
      </c>
      <c r="K109" s="60">
        <f>SUM(K106:K108)</f>
        <v>3084.3144000000002</v>
      </c>
      <c r="L109" s="140">
        <f>H109-H108-(H103*0.7)-K109</f>
        <v>-1344.8808576000001</v>
      </c>
      <c r="M109" s="136">
        <f>0.32*L109</f>
        <v>-430.36187443200004</v>
      </c>
      <c r="N109" s="58"/>
    </row>
    <row r="110" spans="1:14" x14ac:dyDescent="0.25">
      <c r="F110" s="160" t="s">
        <v>151</v>
      </c>
      <c r="G110" s="141"/>
      <c r="H110" s="154">
        <f>'TERMOGRAFIA '!H109</f>
        <v>5885.8513999999996</v>
      </c>
      <c r="I110" s="142" t="s">
        <v>146</v>
      </c>
      <c r="J110" s="143">
        <f>H109/H102</f>
        <v>1.3992</v>
      </c>
      <c r="K110" s="58"/>
      <c r="L110" s="58"/>
      <c r="M110" s="64"/>
      <c r="N110" s="58"/>
    </row>
    <row r="111" spans="1:14" x14ac:dyDescent="0.25">
      <c r="F111" s="160" t="s">
        <v>152</v>
      </c>
      <c r="G111" s="144"/>
      <c r="H111" s="155">
        <f>H109+H110</f>
        <v>8106.4859004800001</v>
      </c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3">
    <mergeCell ref="A10:D10"/>
    <mergeCell ref="A1:H1"/>
    <mergeCell ref="A2:H2"/>
    <mergeCell ref="B5:J5"/>
    <mergeCell ref="A8:D8"/>
    <mergeCell ref="A9:D9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0:D50"/>
    <mergeCell ref="A36:D36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J68:K68"/>
    <mergeCell ref="A51:D51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85:D85"/>
    <mergeCell ref="A69:D69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97:D97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I101:I102"/>
    <mergeCell ref="J101:J102"/>
    <mergeCell ref="K101:K102"/>
    <mergeCell ref="N101:N1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93" zoomScale="70" zoomScaleNormal="70" workbookViewId="0">
      <selection activeCell="H109" sqref="H109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K3" s="17"/>
      <c r="L3" s="17"/>
    </row>
    <row r="4" spans="1:14" x14ac:dyDescent="0.25">
      <c r="A4" s="20" t="s">
        <v>12</v>
      </c>
      <c r="K4" s="17"/>
      <c r="L4" s="17"/>
    </row>
    <row r="5" spans="1:14" x14ac:dyDescent="0.25">
      <c r="A5" s="20" t="s">
        <v>13</v>
      </c>
      <c r="K5" s="17"/>
      <c r="L5" s="17"/>
    </row>
    <row r="6" spans="1:14" x14ac:dyDescent="0.25"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4" t="s">
        <v>217</v>
      </c>
      <c r="B9" s="285"/>
      <c r="C9" s="285"/>
      <c r="D9" s="286"/>
      <c r="E9" s="23" t="s">
        <v>19</v>
      </c>
      <c r="F9" s="23">
        <v>1</v>
      </c>
      <c r="G9" s="24">
        <v>40000</v>
      </c>
      <c r="H9" s="25">
        <f>G9*F9</f>
        <v>40000</v>
      </c>
      <c r="I9" s="17"/>
      <c r="J9" s="18" t="s">
        <v>20</v>
      </c>
      <c r="K9" s="26"/>
      <c r="L9" s="26"/>
      <c r="M9" s="26"/>
      <c r="N9" s="26"/>
    </row>
    <row r="10" spans="1:14" x14ac:dyDescent="0.25">
      <c r="A10" s="234"/>
      <c r="B10" s="234"/>
      <c r="C10" s="234"/>
      <c r="D10" s="234"/>
      <c r="E10" s="23" t="s">
        <v>206</v>
      </c>
      <c r="F10" s="164">
        <v>1</v>
      </c>
      <c r="G10" s="25"/>
      <c r="H10" s="25">
        <f t="shared" ref="H10:H15" si="0">G10*F10</f>
        <v>0</v>
      </c>
      <c r="I10" s="27"/>
      <c r="J10" s="18" t="s">
        <v>21</v>
      </c>
      <c r="K10" s="26"/>
      <c r="L10" s="26"/>
      <c r="M10" s="26"/>
      <c r="N10" s="26"/>
    </row>
    <row r="11" spans="1:14" x14ac:dyDescent="0.25">
      <c r="A11" s="236"/>
      <c r="B11" s="237"/>
      <c r="C11" s="237"/>
      <c r="D11" s="238"/>
      <c r="E11" s="23" t="s">
        <v>82</v>
      </c>
      <c r="F11" s="164">
        <v>1</v>
      </c>
      <c r="G11" s="25"/>
      <c r="H11" s="25">
        <f t="shared" si="0"/>
        <v>0</v>
      </c>
      <c r="I11" s="27"/>
      <c r="J11" s="18" t="s">
        <v>22</v>
      </c>
      <c r="K11" s="26"/>
      <c r="L11" s="26"/>
      <c r="M11" s="26"/>
      <c r="N11" s="26"/>
    </row>
    <row r="12" spans="1:14" x14ac:dyDescent="0.25">
      <c r="E12" s="23" t="s">
        <v>19</v>
      </c>
      <c r="F12" s="164">
        <v>1</v>
      </c>
      <c r="G12" s="25"/>
      <c r="H12" s="25">
        <f t="shared" si="0"/>
        <v>0</v>
      </c>
      <c r="I12" s="27"/>
      <c r="K12" s="26"/>
      <c r="L12" s="26"/>
      <c r="M12" s="26"/>
      <c r="N12" s="26"/>
    </row>
    <row r="13" spans="1:14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K13" s="26"/>
      <c r="L13" s="26"/>
      <c r="M13" s="26"/>
      <c r="N13" s="26"/>
    </row>
    <row r="14" spans="1:14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K14" s="26"/>
      <c r="L14" s="26"/>
      <c r="M14" s="26"/>
      <c r="N14" s="26"/>
    </row>
    <row r="15" spans="1:14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K15" s="26"/>
      <c r="L15" s="26"/>
      <c r="M15" s="26"/>
      <c r="N15" s="26"/>
    </row>
    <row r="16" spans="1:14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40000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f t="shared" si="3"/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f t="shared" si="3"/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1">
        <v>0</v>
      </c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f t="shared" si="3"/>
        <v>0</v>
      </c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10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16.48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180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40000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3" t="s">
        <v>110</v>
      </c>
      <c r="B79" s="244"/>
      <c r="C79" s="244"/>
      <c r="D79" s="244"/>
      <c r="E79" s="99" t="s">
        <v>111</v>
      </c>
      <c r="F79" s="100"/>
      <c r="G79" s="101">
        <v>2200</v>
      </c>
      <c r="H79" s="102">
        <f>(F79*G79)</f>
        <v>0</v>
      </c>
      <c r="I79" s="167"/>
      <c r="J79" s="168"/>
      <c r="K79" s="169"/>
      <c r="L79" s="88"/>
    </row>
    <row r="80" spans="1:14" ht="0.75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</row>
    <row r="82" spans="1:26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11"/>
        <v>0</v>
      </c>
      <c r="I82" s="96"/>
      <c r="J82" s="97"/>
      <c r="K82" s="98"/>
      <c r="L82" s="88"/>
    </row>
    <row r="83" spans="1:26" x14ac:dyDescent="0.25">
      <c r="A83" s="243" t="s">
        <v>115</v>
      </c>
      <c r="B83" s="244"/>
      <c r="C83" s="244"/>
      <c r="D83" s="244"/>
      <c r="E83" s="99" t="s">
        <v>111</v>
      </c>
      <c r="F83" s="100"/>
      <c r="G83" s="101">
        <v>2200</v>
      </c>
      <c r="H83" s="102">
        <f t="shared" si="11"/>
        <v>0</v>
      </c>
      <c r="I83" s="167"/>
      <c r="J83" s="168"/>
      <c r="K83" s="169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96"/>
      <c r="J84" s="97"/>
      <c r="K84" s="98"/>
      <c r="L84" s="88"/>
    </row>
    <row r="85" spans="1:26" x14ac:dyDescent="0.25">
      <c r="A85" s="243" t="s">
        <v>117</v>
      </c>
      <c r="B85" s="244"/>
      <c r="C85" s="244"/>
      <c r="D85" s="244"/>
      <c r="E85" s="99" t="s">
        <v>111</v>
      </c>
      <c r="F85" s="100"/>
      <c r="G85" s="101">
        <v>2500</v>
      </c>
      <c r="H85" s="102">
        <f t="shared" si="11"/>
        <v>0</v>
      </c>
      <c r="I85" s="167"/>
      <c r="J85" s="168"/>
      <c r="K85" s="169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96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96"/>
      <c r="J87" s="97"/>
      <c r="K87" s="98"/>
      <c r="L87" s="88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11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</row>
    <row r="98" spans="1:14" ht="16.5" thickBot="1" x14ac:dyDescent="0.3">
      <c r="A98" s="243" t="s">
        <v>130</v>
      </c>
      <c r="B98" s="244"/>
      <c r="C98" s="244"/>
      <c r="D98" s="244"/>
      <c r="E98" s="99" t="s">
        <v>111</v>
      </c>
      <c r="F98" s="100"/>
      <c r="G98" s="101">
        <v>383.5</v>
      </c>
      <c r="H98" s="102">
        <f t="shared" si="11"/>
        <v>0</v>
      </c>
      <c r="I98" s="170"/>
      <c r="J98" s="171"/>
      <c r="K98" s="17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40000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4000</v>
      </c>
      <c r="I103" s="128">
        <f>(M109*100)/H103</f>
        <v>-289.27999999999997</v>
      </c>
      <c r="J103" s="40">
        <f>H103-M109</f>
        <v>15571.2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44000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H106" s="40">
        <f>H104*G107</f>
        <v>2640</v>
      </c>
      <c r="I106" s="136">
        <f>H106+[1]Part.2!H84+[1]Part.3!H84+[1]Part.4!H84+[1]part.5!H84+[1]traslado!H66</f>
        <v>2850.2120447963807</v>
      </c>
      <c r="J106" s="133" t="s">
        <v>139</v>
      </c>
      <c r="K106" s="60">
        <f>+H17</f>
        <v>40000</v>
      </c>
      <c r="L106" s="132"/>
      <c r="M106" s="117"/>
      <c r="N106" s="58"/>
    </row>
    <row r="107" spans="1:14" x14ac:dyDescent="0.25">
      <c r="E107" s="30"/>
      <c r="F107" s="23" t="s">
        <v>140</v>
      </c>
      <c r="G107" s="135">
        <v>0.06</v>
      </c>
      <c r="H107" s="40">
        <f>H104+H106</f>
        <v>46640</v>
      </c>
      <c r="I107" s="133"/>
      <c r="J107" s="133" t="s">
        <v>141</v>
      </c>
      <c r="K107" s="60">
        <f>H44</f>
        <v>0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7.0000000000000007E-2</v>
      </c>
      <c r="H108" s="40">
        <f>H107*G108</f>
        <v>3264.8</v>
      </c>
      <c r="I108" s="133"/>
      <c r="J108" s="133" t="s">
        <v>143</v>
      </c>
      <c r="K108" s="60">
        <f>H76-H56</f>
        <v>40000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49904.800000000003</v>
      </c>
      <c r="I109" s="40"/>
      <c r="J109" s="139" t="s">
        <v>74</v>
      </c>
      <c r="K109" s="60">
        <f>SUM(K106:K108)</f>
        <v>80000</v>
      </c>
      <c r="L109" s="140">
        <f>H109-H108-(H103*0.7)-K109</f>
        <v>-36160</v>
      </c>
      <c r="M109" s="136">
        <f>0.32*L109</f>
        <v>-11571.2</v>
      </c>
      <c r="N109" s="58"/>
    </row>
    <row r="110" spans="1:14" x14ac:dyDescent="0.25">
      <c r="F110" s="160"/>
      <c r="G110" s="141"/>
      <c r="H110" s="40"/>
      <c r="I110" s="142" t="s">
        <v>146</v>
      </c>
      <c r="J110" s="143">
        <f>H109/H102</f>
        <v>1.2476200000000002</v>
      </c>
      <c r="K110" s="58"/>
      <c r="L110" s="58"/>
      <c r="M110" s="64"/>
      <c r="N110" s="58"/>
    </row>
    <row r="111" spans="1:14" x14ac:dyDescent="0.25">
      <c r="F111" s="160"/>
      <c r="G111" s="144"/>
      <c r="H111" s="40"/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1">
    <mergeCell ref="A1:H1"/>
    <mergeCell ref="A2:H2"/>
    <mergeCell ref="A8:D8"/>
    <mergeCell ref="A9:D9"/>
    <mergeCell ref="A10:D10"/>
    <mergeCell ref="A24:D24"/>
    <mergeCell ref="A11:D11"/>
    <mergeCell ref="A13:D13"/>
    <mergeCell ref="A14:D14"/>
    <mergeCell ref="A15:D15"/>
    <mergeCell ref="A16:D16"/>
    <mergeCell ref="V19:X19"/>
    <mergeCell ref="A20:D20"/>
    <mergeCell ref="A21:D21"/>
    <mergeCell ref="A22:D22"/>
    <mergeCell ref="A23:D23"/>
    <mergeCell ref="O19:U19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J68:K68"/>
    <mergeCell ref="A69:D69"/>
    <mergeCell ref="A52:D52"/>
    <mergeCell ref="A53:D53"/>
    <mergeCell ref="A54:D54"/>
    <mergeCell ref="A55:D55"/>
    <mergeCell ref="A58:D58"/>
    <mergeCell ref="A59:D59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46" zoomScale="70" zoomScaleNormal="70" workbookViewId="0">
      <selection activeCell="H111" sqref="H111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C3" s="19"/>
      <c r="J3" s="58"/>
      <c r="K3" s="17"/>
      <c r="L3" s="17"/>
    </row>
    <row r="4" spans="1:14" x14ac:dyDescent="0.25">
      <c r="A4" s="20" t="s">
        <v>12</v>
      </c>
      <c r="B4" s="43"/>
      <c r="C4" s="37"/>
      <c r="D4" s="43"/>
      <c r="J4" s="58"/>
      <c r="K4" s="17"/>
      <c r="L4" s="17"/>
    </row>
    <row r="5" spans="1:14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</row>
    <row r="6" spans="1:14" x14ac:dyDescent="0.25">
      <c r="J6" s="58"/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1"/>
      <c r="B9" s="282"/>
      <c r="C9" s="282"/>
      <c r="D9" s="283"/>
      <c r="E9" s="23" t="s">
        <v>19</v>
      </c>
      <c r="F9" s="23"/>
      <c r="G9" s="24"/>
      <c r="H9" s="25"/>
      <c r="I9" s="17"/>
      <c r="J9" s="18" t="s">
        <v>20</v>
      </c>
      <c r="K9" s="26"/>
      <c r="L9" s="26"/>
      <c r="M9" s="26"/>
      <c r="N9" s="26"/>
    </row>
    <row r="10" spans="1:14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</row>
    <row r="12" spans="1:14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K12" s="26"/>
      <c r="L12" s="26"/>
      <c r="M12" s="26"/>
      <c r="N12" s="26"/>
    </row>
    <row r="13" spans="1:14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K13" s="26"/>
      <c r="L13" s="26"/>
      <c r="M13" s="26"/>
      <c r="N13" s="26"/>
    </row>
    <row r="14" spans="1:14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K14" s="26"/>
      <c r="L14" s="26"/>
      <c r="M14" s="26"/>
      <c r="N14" s="26"/>
    </row>
    <row r="15" spans="1:14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K15" s="26"/>
      <c r="L15" s="26"/>
      <c r="M15" s="26"/>
      <c r="N15" s="26"/>
    </row>
    <row r="16" spans="1:14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0">
        <v>8</v>
      </c>
      <c r="G24" s="45">
        <v>148.16</v>
      </c>
      <c r="H24" s="46">
        <f t="shared" si="2"/>
        <v>1185.28</v>
      </c>
      <c r="I24" s="161">
        <v>0</v>
      </c>
      <c r="J24" s="47">
        <f t="shared" si="0"/>
        <v>222.24</v>
      </c>
      <c r="K24" s="47">
        <f t="shared" si="4"/>
        <v>0</v>
      </c>
      <c r="L24" s="45">
        <f t="shared" si="5"/>
        <v>0</v>
      </c>
      <c r="M24" s="47">
        <f t="shared" si="1"/>
        <v>333.36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8</v>
      </c>
      <c r="G25" s="41">
        <v>136.31</v>
      </c>
      <c r="H25" s="39">
        <f t="shared" si="2"/>
        <v>1090.48</v>
      </c>
      <c r="I25" s="160">
        <f t="shared" si="3"/>
        <v>0</v>
      </c>
      <c r="J25" s="40">
        <f t="shared" si="0"/>
        <v>204.465</v>
      </c>
      <c r="K25" s="40">
        <f t="shared" si="4"/>
        <v>0</v>
      </c>
      <c r="L25" s="41">
        <f t="shared" si="5"/>
        <v>0</v>
      </c>
      <c r="M25" s="40">
        <f t="shared" si="1"/>
        <v>306.69749999999999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0">
        <v>8</v>
      </c>
      <c r="G27" s="45">
        <v>126.43</v>
      </c>
      <c r="H27" s="46">
        <f t="shared" si="2"/>
        <v>1011.44</v>
      </c>
      <c r="I27" s="161">
        <f t="shared" si="3"/>
        <v>0</v>
      </c>
      <c r="J27" s="47">
        <f t="shared" si="0"/>
        <v>189.64500000000001</v>
      </c>
      <c r="K27" s="47">
        <f t="shared" si="4"/>
        <v>0</v>
      </c>
      <c r="L27" s="45">
        <f t="shared" si="5"/>
        <v>0</v>
      </c>
      <c r="M27" s="47">
        <f t="shared" si="1"/>
        <v>284.46750000000003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8</v>
      </c>
      <c r="G29" s="41">
        <v>110.63</v>
      </c>
      <c r="H29" s="39">
        <f t="shared" si="2"/>
        <v>885.04</v>
      </c>
      <c r="I29" s="160"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8</v>
      </c>
      <c r="G31" s="41">
        <v>104.36</v>
      </c>
      <c r="H31" s="39">
        <f t="shared" si="2"/>
        <v>834.88</v>
      </c>
      <c r="I31" s="160"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5007.12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5007.12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300.42719999999997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5307.5472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34" t="s">
        <v>110</v>
      </c>
      <c r="B79" s="235"/>
      <c r="C79" s="235"/>
      <c r="D79" s="235"/>
      <c r="E79" s="164" t="s">
        <v>111</v>
      </c>
      <c r="F79" s="74">
        <v>0.5</v>
      </c>
      <c r="G79" s="80">
        <v>2200</v>
      </c>
      <c r="H79" s="95">
        <f>(F79*G79)</f>
        <v>1100</v>
      </c>
      <c r="I79" s="96"/>
      <c r="J79" s="97"/>
      <c r="K79" s="98"/>
      <c r="L79" s="88"/>
    </row>
    <row r="80" spans="1:14" ht="21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7" si="9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9"/>
        <v>0</v>
      </c>
      <c r="I81" s="96"/>
      <c r="J81" s="97"/>
      <c r="K81" s="98"/>
      <c r="L81" s="88"/>
    </row>
    <row r="82" spans="1:26" x14ac:dyDescent="0.25">
      <c r="A82" s="234" t="s">
        <v>114</v>
      </c>
      <c r="B82" s="235"/>
      <c r="C82" s="235"/>
      <c r="D82" s="235"/>
      <c r="E82" s="164" t="s">
        <v>111</v>
      </c>
      <c r="F82" s="74">
        <v>0.3</v>
      </c>
      <c r="G82" s="80">
        <v>15200</v>
      </c>
      <c r="H82" s="95">
        <f t="shared" si="9"/>
        <v>4560</v>
      </c>
      <c r="I82" s="96"/>
      <c r="J82" s="97"/>
      <c r="K82" s="98"/>
      <c r="L82" s="88"/>
    </row>
    <row r="83" spans="1:26" x14ac:dyDescent="0.25">
      <c r="A83" s="245" t="s">
        <v>115</v>
      </c>
      <c r="B83" s="246"/>
      <c r="C83" s="246"/>
      <c r="D83" s="246"/>
      <c r="E83" s="23" t="s">
        <v>111</v>
      </c>
      <c r="F83" s="70">
        <v>0.5</v>
      </c>
      <c r="G83" s="73">
        <v>2200</v>
      </c>
      <c r="H83" s="105">
        <f t="shared" si="9"/>
        <v>1100</v>
      </c>
      <c r="I83" s="103"/>
      <c r="J83" s="97"/>
      <c r="K83" s="98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9"/>
        <v>0</v>
      </c>
      <c r="I84" s="96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96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96"/>
      <c r="J87" s="97"/>
      <c r="K87" s="98"/>
      <c r="L87" s="88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9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0.5</v>
      </c>
      <c r="G98" s="80">
        <v>383.5</v>
      </c>
      <c r="H98" s="156">
        <f>(F98*G98)</f>
        <v>191.75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6951.75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12259.297200000001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1225.9297200000001</v>
      </c>
      <c r="I103" s="128">
        <f>(M109*100)/H103</f>
        <v>81.47997341837835</v>
      </c>
      <c r="J103" s="40">
        <f>H103-M109</f>
        <v>227.04251001599994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13485.226920000001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809.11361520000003</v>
      </c>
      <c r="I106" s="136">
        <f>H106+[1]Part.2!H84+[1]Part.3!H84+[1]Part.4!H84+[1]part.5!H84+[1]traslado!H66</f>
        <v>1019.3256599963801</v>
      </c>
      <c r="J106" s="133" t="s">
        <v>139</v>
      </c>
      <c r="K106" s="60">
        <f>+H17</f>
        <v>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14294.340535200001</v>
      </c>
      <c r="I107" s="133"/>
      <c r="J107" s="133" t="s">
        <v>141</v>
      </c>
      <c r="K107" s="60">
        <f>H44</f>
        <v>5007.12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1429.4340535200001</v>
      </c>
      <c r="I108" s="133"/>
      <c r="J108" s="133" t="s">
        <v>143</v>
      </c>
      <c r="K108" s="60">
        <f>H76-H56</f>
        <v>5307.5472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15723.774588720002</v>
      </c>
      <c r="I109" s="40"/>
      <c r="J109" s="139" t="s">
        <v>74</v>
      </c>
      <c r="K109" s="60">
        <f>SUM(K106:K108)</f>
        <v>10314.6672</v>
      </c>
      <c r="L109" s="140">
        <f>H109-H108-(H103*0.7)-K109</f>
        <v>3121.5225312000002</v>
      </c>
      <c r="M109" s="136">
        <f>0.32*L109</f>
        <v>998.88720998400015</v>
      </c>
      <c r="N109" s="58"/>
    </row>
    <row r="110" spans="1:14" x14ac:dyDescent="0.25">
      <c r="F110" s="160" t="s">
        <v>151</v>
      </c>
      <c r="G110" s="141"/>
      <c r="H110" s="154">
        <f>TERMOGRAFIA!H109</f>
        <v>49904.800000000003</v>
      </c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 t="s">
        <v>152</v>
      </c>
      <c r="G111" s="144"/>
      <c r="H111" s="155">
        <f>H109+H110</f>
        <v>65628.574588720003</v>
      </c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3">
    <mergeCell ref="A10:D10"/>
    <mergeCell ref="A1:H1"/>
    <mergeCell ref="A2:H2"/>
    <mergeCell ref="B5:J5"/>
    <mergeCell ref="A8:D8"/>
    <mergeCell ref="A9:D9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0:D50"/>
    <mergeCell ref="A36:D36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J68:K68"/>
    <mergeCell ref="A51:D51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85:D85"/>
    <mergeCell ref="A69:D69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97:D97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I101:I102"/>
    <mergeCell ref="J101:J102"/>
    <mergeCell ref="K101:K102"/>
    <mergeCell ref="N101:N1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45" zoomScale="70" zoomScaleNormal="70" workbookViewId="0">
      <selection activeCell="I113" sqref="I113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K3" s="17"/>
      <c r="L3" s="17"/>
    </row>
    <row r="4" spans="1:14" x14ac:dyDescent="0.25">
      <c r="A4" s="20" t="s">
        <v>12</v>
      </c>
      <c r="K4" s="17"/>
      <c r="L4" s="17"/>
    </row>
    <row r="5" spans="1:14" x14ac:dyDescent="0.25">
      <c r="A5" s="20" t="s">
        <v>13</v>
      </c>
      <c r="K5" s="17"/>
      <c r="L5" s="17"/>
    </row>
    <row r="6" spans="1:14" x14ac:dyDescent="0.25"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ht="15.6" customHeight="1" x14ac:dyDescent="0.25">
      <c r="A9" s="284" t="s">
        <v>204</v>
      </c>
      <c r="B9" s="285"/>
      <c r="C9" s="285"/>
      <c r="D9" s="286"/>
      <c r="E9" s="23" t="s">
        <v>30</v>
      </c>
      <c r="F9" s="23">
        <v>1</v>
      </c>
      <c r="G9" s="24">
        <v>331</v>
      </c>
      <c r="H9" s="25">
        <f>G9*F9</f>
        <v>331</v>
      </c>
      <c r="I9" s="17"/>
      <c r="J9" s="18" t="s">
        <v>20</v>
      </c>
      <c r="K9" s="26"/>
      <c r="L9" s="26"/>
      <c r="M9" s="26"/>
      <c r="N9" s="26"/>
    </row>
    <row r="10" spans="1:14" x14ac:dyDescent="0.25">
      <c r="A10" s="236" t="s">
        <v>205</v>
      </c>
      <c r="B10" s="237"/>
      <c r="C10" s="237"/>
      <c r="D10" s="238"/>
      <c r="E10" s="23" t="s">
        <v>206</v>
      </c>
      <c r="F10" s="164">
        <v>1</v>
      </c>
      <c r="G10" s="25">
        <v>60</v>
      </c>
      <c r="H10" s="25">
        <f t="shared" ref="H10:H15" si="0">G10*F10</f>
        <v>60</v>
      </c>
      <c r="I10" s="27"/>
      <c r="J10" s="18" t="s">
        <v>21</v>
      </c>
      <c r="K10" s="26"/>
      <c r="L10" s="26"/>
      <c r="M10" s="26"/>
      <c r="N10" s="26"/>
    </row>
    <row r="11" spans="1:14" x14ac:dyDescent="0.25">
      <c r="A11" s="236" t="s">
        <v>203</v>
      </c>
      <c r="B11" s="237"/>
      <c r="C11" s="237"/>
      <c r="D11" s="238"/>
      <c r="E11" s="23" t="s">
        <v>82</v>
      </c>
      <c r="F11" s="164">
        <v>1</v>
      </c>
      <c r="G11" s="25">
        <v>200</v>
      </c>
      <c r="H11" s="25">
        <f t="shared" si="0"/>
        <v>200</v>
      </c>
      <c r="I11" s="27"/>
      <c r="J11" s="18" t="s">
        <v>22</v>
      </c>
      <c r="K11" s="26"/>
      <c r="L11" s="26"/>
      <c r="M11" s="26"/>
      <c r="N11" s="26"/>
    </row>
    <row r="12" spans="1:14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K12" s="26"/>
      <c r="L12" s="26"/>
      <c r="M12" s="26"/>
      <c r="N12" s="26"/>
    </row>
    <row r="13" spans="1:14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K13" s="26"/>
      <c r="L13" s="26"/>
      <c r="M13" s="26"/>
      <c r="N13" s="26"/>
    </row>
    <row r="14" spans="1:14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K14" s="26"/>
      <c r="L14" s="26"/>
      <c r="M14" s="26"/>
      <c r="N14" s="26"/>
    </row>
    <row r="15" spans="1:14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K15" s="26"/>
      <c r="L15" s="26"/>
      <c r="M15" s="26"/>
      <c r="N15" s="26"/>
    </row>
    <row r="16" spans="1:14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591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f t="shared" si="3"/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1">
        <v>0</v>
      </c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f t="shared" si="3"/>
        <v>0</v>
      </c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10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40</v>
      </c>
      <c r="G59" s="72">
        <v>16.48</v>
      </c>
      <c r="H59" s="75">
        <f>F59*G59</f>
        <v>659.2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659.2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3</v>
      </c>
      <c r="G64" s="71">
        <v>180</v>
      </c>
      <c r="H64" s="75">
        <f>F64*G64</f>
        <v>540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540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1</v>
      </c>
      <c r="G70" s="71">
        <v>450</v>
      </c>
      <c r="H70" s="60">
        <f>F70*G70</f>
        <v>450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450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2240.1999999999998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3" t="s">
        <v>110</v>
      </c>
      <c r="B79" s="244"/>
      <c r="C79" s="244"/>
      <c r="D79" s="244"/>
      <c r="E79" s="99" t="s">
        <v>111</v>
      </c>
      <c r="F79" s="100"/>
      <c r="G79" s="101">
        <v>2200</v>
      </c>
      <c r="H79" s="102">
        <f>(F79*G79)</f>
        <v>0</v>
      </c>
      <c r="I79" s="167"/>
      <c r="J79" s="168"/>
      <c r="K79" s="169"/>
      <c r="L79" s="88"/>
    </row>
    <row r="80" spans="1:14" ht="0.75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</row>
    <row r="82" spans="1:26" x14ac:dyDescent="0.25">
      <c r="A82" s="243" t="s">
        <v>114</v>
      </c>
      <c r="B82" s="244"/>
      <c r="C82" s="244"/>
      <c r="D82" s="244"/>
      <c r="E82" s="99" t="s">
        <v>111</v>
      </c>
      <c r="F82" s="100"/>
      <c r="G82" s="101">
        <v>15200</v>
      </c>
      <c r="H82" s="102">
        <f t="shared" si="11"/>
        <v>0</v>
      </c>
      <c r="I82" s="167"/>
      <c r="J82" s="168"/>
      <c r="K82" s="169"/>
      <c r="L82" s="88"/>
    </row>
    <row r="83" spans="1:26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88"/>
    </row>
    <row r="84" spans="1:26" x14ac:dyDescent="0.25">
      <c r="A84" s="243" t="s">
        <v>116</v>
      </c>
      <c r="B84" s="244"/>
      <c r="C84" s="244"/>
      <c r="D84" s="244"/>
      <c r="E84" s="99" t="s">
        <v>111</v>
      </c>
      <c r="F84" s="100"/>
      <c r="G84" s="101">
        <v>2000</v>
      </c>
      <c r="H84" s="102">
        <f t="shared" si="11"/>
        <v>0</v>
      </c>
      <c r="I84" s="167"/>
      <c r="J84" s="168"/>
      <c r="K84" s="169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88"/>
    </row>
    <row r="88" spans="1:26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6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</row>
    <row r="98" spans="1:14" ht="16.5" thickBot="1" x14ac:dyDescent="0.3">
      <c r="A98" s="243" t="s">
        <v>130</v>
      </c>
      <c r="B98" s="244"/>
      <c r="C98" s="244"/>
      <c r="D98" s="244"/>
      <c r="E98" s="99" t="s">
        <v>111</v>
      </c>
      <c r="F98" s="100"/>
      <c r="G98" s="101">
        <v>383.5</v>
      </c>
      <c r="H98" s="102">
        <f t="shared" si="11"/>
        <v>0</v>
      </c>
      <c r="I98" s="170"/>
      <c r="J98" s="171"/>
      <c r="K98" s="17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2240.1999999999998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224.01999999999998</v>
      </c>
      <c r="I103" s="128">
        <f>(M109*100)/H103</f>
        <v>-53.7010338362646</v>
      </c>
      <c r="J103" s="40">
        <f>H103-M109</f>
        <v>344.32105599999994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2464.2199999999998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147.85319999999999</v>
      </c>
      <c r="I106" s="136">
        <f>H106+[1]Part.2!H84+[1]Part.3!H84+[1]Part.4!H84+[1]part.5!H84+[1]traslado!H66</f>
        <v>358.06524479638006</v>
      </c>
      <c r="J106" s="133" t="s">
        <v>139</v>
      </c>
      <c r="K106" s="60">
        <f>+H17</f>
        <v>591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2612.0731999999998</v>
      </c>
      <c r="I107" s="133"/>
      <c r="J107" s="133" t="s">
        <v>141</v>
      </c>
      <c r="K107" s="60">
        <f>H44</f>
        <v>0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261.20731999999998</v>
      </c>
      <c r="I108" s="133"/>
      <c r="J108" s="133" t="s">
        <v>143</v>
      </c>
      <c r="K108" s="60">
        <f>H76-H56</f>
        <v>2240.1999999999998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2873.2805199999998</v>
      </c>
      <c r="I109" s="40"/>
      <c r="J109" s="139" t="s">
        <v>74</v>
      </c>
      <c r="K109" s="60">
        <f>SUM(K106:K108)</f>
        <v>2831.2</v>
      </c>
      <c r="L109" s="140">
        <f>H109-H108-(H103*0.7)-K109</f>
        <v>-375.94079999999985</v>
      </c>
      <c r="M109" s="136">
        <f>0.32*L109</f>
        <v>-120.30105599999996</v>
      </c>
      <c r="N109" s="58"/>
    </row>
    <row r="110" spans="1:14" x14ac:dyDescent="0.25">
      <c r="F110" s="160"/>
      <c r="G110" s="141"/>
      <c r="H110" s="40"/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/>
      <c r="G111" s="144"/>
      <c r="H111" s="40"/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2">
    <mergeCell ref="A11:D11"/>
    <mergeCell ref="A1:H1"/>
    <mergeCell ref="A2:H2"/>
    <mergeCell ref="A8:D8"/>
    <mergeCell ref="A9:D9"/>
    <mergeCell ref="A10:D10"/>
    <mergeCell ref="A24:D24"/>
    <mergeCell ref="A12:D12"/>
    <mergeCell ref="A13:D13"/>
    <mergeCell ref="A14:D14"/>
    <mergeCell ref="A15:D15"/>
    <mergeCell ref="A16:D16"/>
    <mergeCell ref="V19:X19"/>
    <mergeCell ref="A20:D20"/>
    <mergeCell ref="A21:D21"/>
    <mergeCell ref="A22:D22"/>
    <mergeCell ref="A23:D23"/>
    <mergeCell ref="O19:U19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J68:K68"/>
    <mergeCell ref="A69:D69"/>
    <mergeCell ref="A52:D52"/>
    <mergeCell ref="A53:D53"/>
    <mergeCell ref="A54:D54"/>
    <mergeCell ref="A55:D55"/>
    <mergeCell ref="A58:D58"/>
    <mergeCell ref="A59:D59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90" zoomScale="70" zoomScaleNormal="70" workbookViewId="0">
      <selection activeCell="K116" sqref="K116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C3" s="19"/>
      <c r="J3" s="58"/>
      <c r="K3" s="17"/>
      <c r="L3" s="17"/>
    </row>
    <row r="4" spans="1:14" x14ac:dyDescent="0.25">
      <c r="A4" s="20" t="s">
        <v>12</v>
      </c>
      <c r="B4" s="43"/>
      <c r="C4" s="37"/>
      <c r="D4" s="43"/>
      <c r="J4" s="58"/>
      <c r="K4" s="17"/>
      <c r="L4" s="17"/>
    </row>
    <row r="5" spans="1:14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</row>
    <row r="6" spans="1:14" x14ac:dyDescent="0.25">
      <c r="J6" s="58"/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1"/>
      <c r="B9" s="282"/>
      <c r="C9" s="282"/>
      <c r="D9" s="283"/>
      <c r="E9" s="23" t="s">
        <v>19</v>
      </c>
      <c r="F9" s="23"/>
      <c r="G9" s="24"/>
      <c r="H9" s="25"/>
      <c r="I9" s="17"/>
      <c r="J9" s="18" t="s">
        <v>20</v>
      </c>
      <c r="K9" s="26"/>
      <c r="L9" s="26"/>
      <c r="M9" s="26"/>
      <c r="N9" s="26"/>
    </row>
    <row r="10" spans="1:14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</row>
    <row r="12" spans="1:14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K12" s="26"/>
      <c r="L12" s="26"/>
      <c r="M12" s="26"/>
      <c r="N12" s="26"/>
    </row>
    <row r="13" spans="1:14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K13" s="26"/>
      <c r="L13" s="26"/>
      <c r="M13" s="26"/>
      <c r="N13" s="26"/>
    </row>
    <row r="14" spans="1:14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K14" s="26"/>
      <c r="L14" s="26"/>
      <c r="M14" s="26"/>
      <c r="N14" s="26"/>
    </row>
    <row r="15" spans="1:14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K15" s="26"/>
      <c r="L15" s="26"/>
      <c r="M15" s="26"/>
      <c r="N15" s="26"/>
    </row>
    <row r="16" spans="1:14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0">
        <v>9</v>
      </c>
      <c r="G24" s="45">
        <v>148.16</v>
      </c>
      <c r="H24" s="46">
        <f t="shared" si="2"/>
        <v>1333.44</v>
      </c>
      <c r="I24" s="161">
        <v>0</v>
      </c>
      <c r="J24" s="47">
        <f t="shared" si="0"/>
        <v>222.24</v>
      </c>
      <c r="K24" s="47">
        <f t="shared" si="4"/>
        <v>0</v>
      </c>
      <c r="L24" s="45">
        <f t="shared" si="5"/>
        <v>0</v>
      </c>
      <c r="M24" s="47">
        <f t="shared" si="1"/>
        <v>333.36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9</v>
      </c>
      <c r="G25" s="41">
        <v>136.31</v>
      </c>
      <c r="H25" s="39">
        <f t="shared" si="2"/>
        <v>1226.79</v>
      </c>
      <c r="I25" s="160">
        <v>0</v>
      </c>
      <c r="J25" s="40">
        <f t="shared" si="0"/>
        <v>204.465</v>
      </c>
      <c r="K25" s="40">
        <f t="shared" si="4"/>
        <v>0</v>
      </c>
      <c r="L25" s="41">
        <f t="shared" si="5"/>
        <v>0</v>
      </c>
      <c r="M25" s="40">
        <f t="shared" si="1"/>
        <v>306.69749999999999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0">
        <v>0</v>
      </c>
      <c r="G27" s="45">
        <v>126.43</v>
      </c>
      <c r="H27" s="46">
        <f t="shared" si="2"/>
        <v>0</v>
      </c>
      <c r="I27" s="161">
        <f t="shared" si="3"/>
        <v>0</v>
      </c>
      <c r="J27" s="47">
        <f t="shared" si="0"/>
        <v>189.64500000000001</v>
      </c>
      <c r="K27" s="47">
        <f t="shared" si="4"/>
        <v>0</v>
      </c>
      <c r="L27" s="45">
        <f t="shared" si="5"/>
        <v>0</v>
      </c>
      <c r="M27" s="47">
        <f t="shared" si="1"/>
        <v>284.46750000000003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9</v>
      </c>
      <c r="G31" s="41">
        <v>104.36</v>
      </c>
      <c r="H31" s="39">
        <f t="shared" si="2"/>
        <v>939.24</v>
      </c>
      <c r="I31" s="160"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3499.4700000000003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3499.4700000000003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209.9682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6</v>
      </c>
      <c r="G49" s="71">
        <v>102.29</v>
      </c>
      <c r="H49" s="71">
        <f t="shared" ref="H49:H55" si="8">F49*G49</f>
        <v>613.74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M55" s="26"/>
    </row>
    <row r="56" spans="1:15" x14ac:dyDescent="0.25">
      <c r="G56" s="76" t="s">
        <v>85</v>
      </c>
      <c r="H56" s="76">
        <f>SUM(H49:H55)</f>
        <v>613.74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4323.1782000000003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34" t="s">
        <v>110</v>
      </c>
      <c r="B79" s="235"/>
      <c r="C79" s="235"/>
      <c r="D79" s="235"/>
      <c r="E79" s="164" t="s">
        <v>111</v>
      </c>
      <c r="F79" s="74">
        <v>0.5</v>
      </c>
      <c r="G79" s="80">
        <v>2200</v>
      </c>
      <c r="H79" s="95">
        <f>(F79*G79)</f>
        <v>1100</v>
      </c>
      <c r="I79" s="96"/>
      <c r="J79" s="97"/>
      <c r="K79" s="98"/>
      <c r="L79" s="88"/>
    </row>
    <row r="80" spans="1:14" ht="21" customHeight="1" x14ac:dyDescent="0.25">
      <c r="A80" s="234" t="s">
        <v>112</v>
      </c>
      <c r="B80" s="235"/>
      <c r="C80" s="235"/>
      <c r="D80" s="235"/>
      <c r="E80" s="164" t="s">
        <v>111</v>
      </c>
      <c r="F80" s="74">
        <v>0.5</v>
      </c>
      <c r="G80" s="80">
        <v>2000</v>
      </c>
      <c r="H80" s="95">
        <f t="shared" ref="H80:H97" si="9">(F80*G80)</f>
        <v>1000</v>
      </c>
      <c r="I80" s="96"/>
      <c r="J80" s="97"/>
      <c r="K80" s="98"/>
      <c r="L80" s="88"/>
    </row>
    <row r="81" spans="1:26" x14ac:dyDescent="0.25">
      <c r="A81" s="245" t="s">
        <v>113</v>
      </c>
      <c r="B81" s="246"/>
      <c r="C81" s="246"/>
      <c r="D81" s="246"/>
      <c r="E81" s="23" t="s">
        <v>111</v>
      </c>
      <c r="F81" s="70">
        <v>0</v>
      </c>
      <c r="G81" s="73">
        <v>7000</v>
      </c>
      <c r="H81" s="105">
        <f t="shared" si="9"/>
        <v>0</v>
      </c>
      <c r="I81" s="103"/>
      <c r="J81" s="97"/>
      <c r="K81" s="98"/>
      <c r="L81" s="88"/>
    </row>
    <row r="82" spans="1:26" x14ac:dyDescent="0.25">
      <c r="A82" s="245" t="s">
        <v>114</v>
      </c>
      <c r="B82" s="246"/>
      <c r="C82" s="246"/>
      <c r="D82" s="246"/>
      <c r="E82" s="23" t="s">
        <v>111</v>
      </c>
      <c r="F82" s="70">
        <v>0.3</v>
      </c>
      <c r="G82" s="73">
        <v>15200</v>
      </c>
      <c r="H82" s="105">
        <f t="shared" si="9"/>
        <v>4560</v>
      </c>
      <c r="I82" s="103"/>
      <c r="J82" s="97"/>
      <c r="K82" s="98"/>
      <c r="L82" s="88"/>
    </row>
    <row r="83" spans="1:26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9"/>
        <v>0</v>
      </c>
      <c r="I83" s="103"/>
      <c r="J83" s="97"/>
      <c r="K83" s="98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>
        <v>0.3</v>
      </c>
      <c r="G84" s="73">
        <v>2000</v>
      </c>
      <c r="H84" s="105">
        <f t="shared" si="9"/>
        <v>600</v>
      </c>
      <c r="I84" s="103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</row>
    <row r="88" spans="1:26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9"/>
        <v>0</v>
      </c>
      <c r="I88" s="106"/>
      <c r="J88" s="97"/>
      <c r="K88" s="98"/>
      <c r="L88" s="88"/>
    </row>
    <row r="89" spans="1:26" x14ac:dyDescent="0.25">
      <c r="A89" s="284" t="s">
        <v>121</v>
      </c>
      <c r="B89" s="285"/>
      <c r="C89" s="285"/>
      <c r="D89" s="286"/>
      <c r="E89" s="23" t="s">
        <v>111</v>
      </c>
      <c r="F89" s="70"/>
      <c r="G89" s="73">
        <v>2500</v>
      </c>
      <c r="H89" s="105">
        <f t="shared" si="9"/>
        <v>0</v>
      </c>
      <c r="I89" s="106"/>
      <c r="J89" s="97"/>
      <c r="K89" s="98"/>
      <c r="L89" s="88"/>
    </row>
    <row r="90" spans="1:26" x14ac:dyDescent="0.25">
      <c r="A90" s="245" t="s">
        <v>122</v>
      </c>
      <c r="B90" s="246"/>
      <c r="C90" s="246"/>
      <c r="D90" s="246"/>
      <c r="E90" s="23" t="s">
        <v>111</v>
      </c>
      <c r="F90" s="70"/>
      <c r="G90" s="73">
        <v>13373</v>
      </c>
      <c r="H90" s="105">
        <f t="shared" si="9"/>
        <v>0</v>
      </c>
      <c r="I90" s="106"/>
      <c r="J90" s="97"/>
      <c r="K90" s="98"/>
      <c r="L90" s="88"/>
    </row>
    <row r="91" spans="1:26" x14ac:dyDescent="0.25">
      <c r="A91" s="284" t="s">
        <v>123</v>
      </c>
      <c r="B91" s="285"/>
      <c r="C91" s="285"/>
      <c r="D91" s="286"/>
      <c r="E91" s="23" t="s">
        <v>111</v>
      </c>
      <c r="F91" s="70"/>
      <c r="G91" s="73">
        <v>800</v>
      </c>
      <c r="H91" s="105">
        <f t="shared" si="9"/>
        <v>0</v>
      </c>
      <c r="I91" s="106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0.5</v>
      </c>
      <c r="G98" s="80">
        <v>383.5</v>
      </c>
      <c r="H98" s="156">
        <f>(F98*G98)</f>
        <v>191.75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7451.75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11774.9282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1177.4928200000002</v>
      </c>
      <c r="I103" s="128">
        <f>(M109*100)/H103</f>
        <v>154.80792437477447</v>
      </c>
      <c r="J103" s="40">
        <f>H103-M109</f>
        <v>-645.35937430399963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12952.42102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777.14526119999994</v>
      </c>
      <c r="I106" s="136">
        <f>H106+[1]Part.2!H84+[1]Part.3!H84+[1]Part.4!H84+[1]part.5!H84+[1]traslado!H66</f>
        <v>987.35730599637998</v>
      </c>
      <c r="J106" s="133" t="s">
        <v>139</v>
      </c>
      <c r="K106" s="60">
        <f>+H17</f>
        <v>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13729.566281199999</v>
      </c>
      <c r="I107" s="133"/>
      <c r="J107" s="133" t="s">
        <v>141</v>
      </c>
      <c r="K107" s="60">
        <f>H44</f>
        <v>3499.4700000000003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1372.95662812</v>
      </c>
      <c r="I108" s="133"/>
      <c r="J108" s="133" t="s">
        <v>143</v>
      </c>
      <c r="K108" s="60">
        <f>H76-H56</f>
        <v>3709.4382000000005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15102.52290932</v>
      </c>
      <c r="I109" s="40"/>
      <c r="J109" s="139" t="s">
        <v>74</v>
      </c>
      <c r="K109" s="60">
        <f>SUM(K106:K108)</f>
        <v>7208.9082000000008</v>
      </c>
      <c r="L109" s="140">
        <f>H109-H108-(H103*0.7)-K109</f>
        <v>5696.4131071999991</v>
      </c>
      <c r="M109" s="136">
        <f>0.32*L109</f>
        <v>1822.8521943039998</v>
      </c>
      <c r="N109" s="58"/>
    </row>
    <row r="110" spans="1:14" x14ac:dyDescent="0.25">
      <c r="F110" s="160" t="s">
        <v>151</v>
      </c>
      <c r="G110" s="141"/>
      <c r="H110" s="154">
        <f>'TR 15MVA MAT.'!H109</f>
        <v>2873.2805199999998</v>
      </c>
      <c r="I110" s="142" t="s">
        <v>146</v>
      </c>
      <c r="J110" s="143">
        <f>H109/H102</f>
        <v>1.2826</v>
      </c>
      <c r="K110" s="58"/>
      <c r="L110" s="58"/>
      <c r="M110" s="64"/>
      <c r="N110" s="58"/>
    </row>
    <row r="111" spans="1:14" x14ac:dyDescent="0.25">
      <c r="F111" s="160" t="s">
        <v>152</v>
      </c>
      <c r="G111" s="144"/>
      <c r="H111" s="155">
        <f>H109+H110</f>
        <v>17975.80342932</v>
      </c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3">
    <mergeCell ref="A10:D10"/>
    <mergeCell ref="A1:H1"/>
    <mergeCell ref="A2:H2"/>
    <mergeCell ref="B5:J5"/>
    <mergeCell ref="A8:D8"/>
    <mergeCell ref="A9:D9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0:D50"/>
    <mergeCell ref="A36:D36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J68:K68"/>
    <mergeCell ref="A51:D51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85:D85"/>
    <mergeCell ref="A69:D69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97:D97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I101:I102"/>
    <mergeCell ref="J101:J102"/>
    <mergeCell ref="K101:K102"/>
    <mergeCell ref="N101:N10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92" zoomScale="76" zoomScaleNormal="76" workbookViewId="0">
      <selection activeCell="H109" sqref="H109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K3" s="17"/>
      <c r="L3" s="17"/>
    </row>
    <row r="4" spans="1:14" x14ac:dyDescent="0.25">
      <c r="A4" s="20" t="s">
        <v>12</v>
      </c>
      <c r="K4" s="17"/>
      <c r="L4" s="17"/>
    </row>
    <row r="5" spans="1:14" x14ac:dyDescent="0.25">
      <c r="A5" s="20" t="s">
        <v>13</v>
      </c>
      <c r="K5" s="17"/>
      <c r="L5" s="17"/>
    </row>
    <row r="6" spans="1:14" x14ac:dyDescent="0.25"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ht="15.6" customHeight="1" x14ac:dyDescent="0.25">
      <c r="A9" s="284" t="s">
        <v>81</v>
      </c>
      <c r="B9" s="285"/>
      <c r="C9" s="285"/>
      <c r="D9" s="286"/>
      <c r="E9" s="23">
        <v>1</v>
      </c>
      <c r="F9" s="23">
        <v>1</v>
      </c>
      <c r="G9" s="24">
        <v>45000</v>
      </c>
      <c r="H9" s="25">
        <f>F9*G9</f>
        <v>45000</v>
      </c>
      <c r="I9" s="17"/>
      <c r="J9" s="18" t="s">
        <v>20</v>
      </c>
      <c r="K9" s="26"/>
      <c r="L9" s="26"/>
      <c r="M9" s="26"/>
      <c r="N9" s="26"/>
    </row>
    <row r="10" spans="1:14" x14ac:dyDescent="0.25">
      <c r="A10" s="236"/>
      <c r="B10" s="237"/>
      <c r="C10" s="237"/>
      <c r="D10" s="238"/>
      <c r="E10" s="23"/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36"/>
      <c r="B11" s="237"/>
      <c r="C11" s="237"/>
      <c r="D11" s="238"/>
      <c r="E11" s="23"/>
      <c r="F11" s="164"/>
      <c r="G11" s="25"/>
      <c r="H11" s="25">
        <f t="shared" ref="H11:H15" si="0">G11*F11</f>
        <v>0</v>
      </c>
      <c r="I11" s="27"/>
      <c r="J11" s="18" t="s">
        <v>22</v>
      </c>
      <c r="K11" s="26"/>
      <c r="L11" s="26"/>
      <c r="M11" s="26"/>
      <c r="N11" s="26"/>
    </row>
    <row r="12" spans="1:14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K12" s="26"/>
      <c r="L12" s="26"/>
      <c r="M12" s="26"/>
      <c r="N12" s="26"/>
    </row>
    <row r="13" spans="1:14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K13" s="26"/>
      <c r="L13" s="26"/>
      <c r="M13" s="26"/>
      <c r="N13" s="26"/>
    </row>
    <row r="14" spans="1:14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K14" s="26"/>
      <c r="L14" s="26"/>
      <c r="M14" s="26"/>
      <c r="N14" s="26"/>
    </row>
    <row r="15" spans="1:14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K15" s="26"/>
      <c r="L15" s="26"/>
      <c r="M15" s="26"/>
      <c r="N15" s="26"/>
    </row>
    <row r="16" spans="1:14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45000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1"/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/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10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/>
      <c r="G59" s="72">
        <v>16.48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/>
      <c r="G64" s="71">
        <v>180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40</v>
      </c>
      <c r="G70" s="71">
        <v>650</v>
      </c>
      <c r="H70" s="60">
        <f>F70*G70</f>
        <v>26000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26000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71000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43" t="s">
        <v>110</v>
      </c>
      <c r="B79" s="244"/>
      <c r="C79" s="244"/>
      <c r="D79" s="244"/>
      <c r="E79" s="99" t="s">
        <v>111</v>
      </c>
      <c r="F79" s="100"/>
      <c r="G79" s="101">
        <v>2200</v>
      </c>
      <c r="H79" s="102">
        <f>(F79*G79)</f>
        <v>0</v>
      </c>
      <c r="I79" s="167"/>
      <c r="J79" s="168"/>
      <c r="K79" s="169"/>
      <c r="L79" s="88"/>
    </row>
    <row r="80" spans="1:14" ht="0.75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</row>
    <row r="82" spans="1:26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11"/>
        <v>0</v>
      </c>
      <c r="I82" s="96"/>
      <c r="J82" s="97"/>
      <c r="K82" s="98"/>
      <c r="L82" s="88"/>
    </row>
    <row r="83" spans="1:26" x14ac:dyDescent="0.25">
      <c r="A83" s="243" t="s">
        <v>115</v>
      </c>
      <c r="B83" s="244"/>
      <c r="C83" s="244"/>
      <c r="D83" s="244"/>
      <c r="E83" s="99" t="s">
        <v>111</v>
      </c>
      <c r="F83" s="100"/>
      <c r="G83" s="101">
        <v>2200</v>
      </c>
      <c r="H83" s="102">
        <f t="shared" si="11"/>
        <v>0</v>
      </c>
      <c r="I83" s="167"/>
      <c r="J83" s="168"/>
      <c r="K83" s="169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88"/>
    </row>
    <row r="88" spans="1:26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6"/>
      <c r="J88" s="97"/>
      <c r="K88" s="98"/>
      <c r="L88" s="88"/>
    </row>
    <row r="89" spans="1:26" x14ac:dyDescent="0.25">
      <c r="A89" s="284" t="s">
        <v>121</v>
      </c>
      <c r="B89" s="285"/>
      <c r="C89" s="285"/>
      <c r="D89" s="286"/>
      <c r="E89" s="23" t="s">
        <v>111</v>
      </c>
      <c r="F89" s="70"/>
      <c r="G89" s="73">
        <v>2500</v>
      </c>
      <c r="H89" s="105">
        <f t="shared" si="11"/>
        <v>0</v>
      </c>
      <c r="I89" s="106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</row>
    <row r="98" spans="1:14" ht="16.5" thickBot="1" x14ac:dyDescent="0.3">
      <c r="A98" s="243" t="s">
        <v>130</v>
      </c>
      <c r="B98" s="244"/>
      <c r="C98" s="244"/>
      <c r="D98" s="244"/>
      <c r="E98" s="99" t="s">
        <v>111</v>
      </c>
      <c r="F98" s="100"/>
      <c r="G98" s="101">
        <v>383.5</v>
      </c>
      <c r="H98" s="102">
        <f t="shared" si="11"/>
        <v>0</v>
      </c>
      <c r="I98" s="170"/>
      <c r="J98" s="171"/>
      <c r="K98" s="172"/>
      <c r="L98" s="88"/>
    </row>
    <row r="99" spans="1:14" ht="16.5" thickBot="1" x14ac:dyDescent="0.3"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71000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0.1</v>
      </c>
      <c r="H103" s="127">
        <f>H102*G103</f>
        <v>7100</v>
      </c>
      <c r="I103" s="128">
        <f>(M109*100)/H103</f>
        <v>-172.09690140845069</v>
      </c>
      <c r="J103" s="40">
        <f>H103-M109</f>
        <v>19318.88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78100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0.06</v>
      </c>
      <c r="H106" s="40">
        <f>H104*G106</f>
        <v>4686</v>
      </c>
      <c r="I106" s="136">
        <f>H106+[1]Part.2!H84+[1]Part.3!H84+[1]Part.4!H84+[1]part.5!H84+[1]traslado!H66</f>
        <v>4896.2120447963807</v>
      </c>
      <c r="J106" s="133" t="s">
        <v>139</v>
      </c>
      <c r="K106" s="60">
        <f>+H17</f>
        <v>45000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82786</v>
      </c>
      <c r="I107" s="133"/>
      <c r="J107" s="133" t="s">
        <v>141</v>
      </c>
      <c r="K107" s="60">
        <f>H44</f>
        <v>0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0.1</v>
      </c>
      <c r="H108" s="40">
        <f>H107*G108</f>
        <v>8278.6</v>
      </c>
      <c r="I108" s="133"/>
      <c r="J108" s="133" t="s">
        <v>143</v>
      </c>
      <c r="K108" s="60">
        <f>H76-H56</f>
        <v>71000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91064.6</v>
      </c>
      <c r="I109" s="40"/>
      <c r="J109" s="139" t="s">
        <v>74</v>
      </c>
      <c r="K109" s="60">
        <f>SUM(K106:K108)</f>
        <v>116000</v>
      </c>
      <c r="L109" s="140">
        <f>H109-H108-(H103*0.7)-K109</f>
        <v>-38184</v>
      </c>
      <c r="M109" s="136">
        <f>0.32*L109</f>
        <v>-12218.880000000001</v>
      </c>
      <c r="N109" s="58"/>
    </row>
    <row r="110" spans="1:14" x14ac:dyDescent="0.25">
      <c r="F110" s="160"/>
      <c r="G110" s="141"/>
      <c r="H110" s="40"/>
      <c r="I110" s="142" t="s">
        <v>146</v>
      </c>
      <c r="J110" s="143">
        <f>H109/H102</f>
        <v>1.2826000000000002</v>
      </c>
      <c r="K110" s="58"/>
      <c r="L110" s="58"/>
      <c r="M110" s="64"/>
      <c r="N110" s="58"/>
    </row>
    <row r="111" spans="1:14" x14ac:dyDescent="0.25">
      <c r="F111" s="160"/>
      <c r="G111" s="144"/>
      <c r="H111" s="40"/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2">
    <mergeCell ref="A11:D11"/>
    <mergeCell ref="A1:H1"/>
    <mergeCell ref="A2:H2"/>
    <mergeCell ref="A8:D8"/>
    <mergeCell ref="A9:D9"/>
    <mergeCell ref="A10:D10"/>
    <mergeCell ref="A24:D24"/>
    <mergeCell ref="A12:D12"/>
    <mergeCell ref="A13:D13"/>
    <mergeCell ref="A14:D14"/>
    <mergeCell ref="A15:D15"/>
    <mergeCell ref="A16:D16"/>
    <mergeCell ref="V19:X19"/>
    <mergeCell ref="A20:D20"/>
    <mergeCell ref="A21:D21"/>
    <mergeCell ref="A22:D22"/>
    <mergeCell ref="A23:D23"/>
    <mergeCell ref="O19:U19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J68:K68"/>
    <mergeCell ref="A69:D69"/>
    <mergeCell ref="A52:D52"/>
    <mergeCell ref="A53:D53"/>
    <mergeCell ref="A54:D54"/>
    <mergeCell ref="A55:D55"/>
    <mergeCell ref="A58:D58"/>
    <mergeCell ref="A59:D59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27"/>
  <sheetViews>
    <sheetView topLeftCell="A85" zoomScale="70" zoomScaleNormal="70" workbookViewId="0">
      <selection activeCell="H111" sqref="H111"/>
    </sheetView>
  </sheetViews>
  <sheetFormatPr baseColWidth="10" defaultColWidth="23.42578125" defaultRowHeight="15.75" x14ac:dyDescent="0.25"/>
  <cols>
    <col min="1" max="1" width="14.7109375" style="18" customWidth="1"/>
    <col min="2" max="3" width="11.42578125" style="18" customWidth="1"/>
    <col min="4" max="4" width="10" style="18" customWidth="1"/>
    <col min="5" max="5" width="12.5703125" style="18" bestFit="1" customWidth="1"/>
    <col min="6" max="6" width="14.5703125" style="18" customWidth="1"/>
    <col min="7" max="7" width="18.42578125" style="18" customWidth="1"/>
    <col min="8" max="8" width="17.7109375" style="18" customWidth="1"/>
    <col min="9" max="9" width="14.42578125" style="18" customWidth="1"/>
    <col min="10" max="10" width="14.5703125" style="18" customWidth="1"/>
    <col min="11" max="11" width="16.140625" style="18" customWidth="1"/>
    <col min="12" max="12" width="12" style="18" customWidth="1"/>
    <col min="13" max="13" width="13.28515625" style="18" customWidth="1"/>
    <col min="14" max="14" width="12.85546875" style="18" customWidth="1"/>
    <col min="15" max="24" width="6.7109375" style="18" customWidth="1"/>
    <col min="25" max="25" width="36.85546875" style="18" customWidth="1"/>
    <col min="26" max="26" width="7.140625" style="159" customWidth="1"/>
    <col min="27" max="249" width="11.42578125" style="18" customWidth="1"/>
    <col min="250" max="250" width="14.7109375" style="18" customWidth="1"/>
    <col min="251" max="252" width="11.42578125" style="18" customWidth="1"/>
    <col min="253" max="253" width="16.7109375" style="18" customWidth="1"/>
    <col min="254" max="254" width="11.42578125" style="18" customWidth="1"/>
    <col min="255" max="255" width="19" style="18" customWidth="1"/>
    <col min="256" max="256" width="23.42578125" style="18"/>
    <col min="257" max="257" width="14.7109375" style="18" customWidth="1"/>
    <col min="258" max="259" width="11.42578125" style="18" customWidth="1"/>
    <col min="260" max="260" width="10" style="18" customWidth="1"/>
    <col min="261" max="261" width="12.5703125" style="18" bestFit="1" customWidth="1"/>
    <col min="262" max="262" width="14.5703125" style="18" customWidth="1"/>
    <col min="263" max="263" width="18.42578125" style="18" customWidth="1"/>
    <col min="264" max="264" width="17.7109375" style="18" customWidth="1"/>
    <col min="265" max="265" width="14.42578125" style="18" customWidth="1"/>
    <col min="266" max="266" width="14.5703125" style="18" customWidth="1"/>
    <col min="267" max="267" width="16.140625" style="18" customWidth="1"/>
    <col min="268" max="268" width="12" style="18" customWidth="1"/>
    <col min="269" max="269" width="13.28515625" style="18" customWidth="1"/>
    <col min="270" max="270" width="12.85546875" style="18" customWidth="1"/>
    <col min="271" max="280" width="6.7109375" style="18" customWidth="1"/>
    <col min="281" max="505" width="11.42578125" style="18" customWidth="1"/>
    <col min="506" max="506" width="14.7109375" style="18" customWidth="1"/>
    <col min="507" max="508" width="11.42578125" style="18" customWidth="1"/>
    <col min="509" max="509" width="16.7109375" style="18" customWidth="1"/>
    <col min="510" max="510" width="11.42578125" style="18" customWidth="1"/>
    <col min="511" max="511" width="19" style="18" customWidth="1"/>
    <col min="512" max="512" width="23.42578125" style="18"/>
    <col min="513" max="513" width="14.7109375" style="18" customWidth="1"/>
    <col min="514" max="515" width="11.42578125" style="18" customWidth="1"/>
    <col min="516" max="516" width="10" style="18" customWidth="1"/>
    <col min="517" max="517" width="12.5703125" style="18" bestFit="1" customWidth="1"/>
    <col min="518" max="518" width="14.5703125" style="18" customWidth="1"/>
    <col min="519" max="519" width="18.42578125" style="18" customWidth="1"/>
    <col min="520" max="520" width="17.7109375" style="18" customWidth="1"/>
    <col min="521" max="521" width="14.42578125" style="18" customWidth="1"/>
    <col min="522" max="522" width="14.5703125" style="18" customWidth="1"/>
    <col min="523" max="523" width="16.140625" style="18" customWidth="1"/>
    <col min="524" max="524" width="12" style="18" customWidth="1"/>
    <col min="525" max="525" width="13.28515625" style="18" customWidth="1"/>
    <col min="526" max="526" width="12.85546875" style="18" customWidth="1"/>
    <col min="527" max="536" width="6.7109375" style="18" customWidth="1"/>
    <col min="537" max="761" width="11.42578125" style="18" customWidth="1"/>
    <col min="762" max="762" width="14.7109375" style="18" customWidth="1"/>
    <col min="763" max="764" width="11.42578125" style="18" customWidth="1"/>
    <col min="765" max="765" width="16.7109375" style="18" customWidth="1"/>
    <col min="766" max="766" width="11.42578125" style="18" customWidth="1"/>
    <col min="767" max="767" width="19" style="18" customWidth="1"/>
    <col min="768" max="768" width="23.42578125" style="18"/>
    <col min="769" max="769" width="14.7109375" style="18" customWidth="1"/>
    <col min="770" max="771" width="11.42578125" style="18" customWidth="1"/>
    <col min="772" max="772" width="10" style="18" customWidth="1"/>
    <col min="773" max="773" width="12.5703125" style="18" bestFit="1" customWidth="1"/>
    <col min="774" max="774" width="14.5703125" style="18" customWidth="1"/>
    <col min="775" max="775" width="18.42578125" style="18" customWidth="1"/>
    <col min="776" max="776" width="17.7109375" style="18" customWidth="1"/>
    <col min="777" max="777" width="14.42578125" style="18" customWidth="1"/>
    <col min="778" max="778" width="14.5703125" style="18" customWidth="1"/>
    <col min="779" max="779" width="16.140625" style="18" customWidth="1"/>
    <col min="780" max="780" width="12" style="18" customWidth="1"/>
    <col min="781" max="781" width="13.28515625" style="18" customWidth="1"/>
    <col min="782" max="782" width="12.85546875" style="18" customWidth="1"/>
    <col min="783" max="792" width="6.7109375" style="18" customWidth="1"/>
    <col min="793" max="1017" width="11.42578125" style="18" customWidth="1"/>
    <col min="1018" max="1018" width="14.7109375" style="18" customWidth="1"/>
    <col min="1019" max="1020" width="11.42578125" style="18" customWidth="1"/>
    <col min="1021" max="1021" width="16.7109375" style="18" customWidth="1"/>
    <col min="1022" max="1022" width="11.42578125" style="18" customWidth="1"/>
    <col min="1023" max="1023" width="19" style="18" customWidth="1"/>
    <col min="1024" max="1024" width="23.42578125" style="18"/>
    <col min="1025" max="1025" width="14.7109375" style="18" customWidth="1"/>
    <col min="1026" max="1027" width="11.42578125" style="18" customWidth="1"/>
    <col min="1028" max="1028" width="10" style="18" customWidth="1"/>
    <col min="1029" max="1029" width="12.5703125" style="18" bestFit="1" customWidth="1"/>
    <col min="1030" max="1030" width="14.5703125" style="18" customWidth="1"/>
    <col min="1031" max="1031" width="18.42578125" style="18" customWidth="1"/>
    <col min="1032" max="1032" width="17.7109375" style="18" customWidth="1"/>
    <col min="1033" max="1033" width="14.42578125" style="18" customWidth="1"/>
    <col min="1034" max="1034" width="14.5703125" style="18" customWidth="1"/>
    <col min="1035" max="1035" width="16.140625" style="18" customWidth="1"/>
    <col min="1036" max="1036" width="12" style="18" customWidth="1"/>
    <col min="1037" max="1037" width="13.28515625" style="18" customWidth="1"/>
    <col min="1038" max="1038" width="12.85546875" style="18" customWidth="1"/>
    <col min="1039" max="1048" width="6.7109375" style="18" customWidth="1"/>
    <col min="1049" max="1273" width="11.42578125" style="18" customWidth="1"/>
    <col min="1274" max="1274" width="14.7109375" style="18" customWidth="1"/>
    <col min="1275" max="1276" width="11.42578125" style="18" customWidth="1"/>
    <col min="1277" max="1277" width="16.7109375" style="18" customWidth="1"/>
    <col min="1278" max="1278" width="11.42578125" style="18" customWidth="1"/>
    <col min="1279" max="1279" width="19" style="18" customWidth="1"/>
    <col min="1280" max="1280" width="23.42578125" style="18"/>
    <col min="1281" max="1281" width="14.7109375" style="18" customWidth="1"/>
    <col min="1282" max="1283" width="11.42578125" style="18" customWidth="1"/>
    <col min="1284" max="1284" width="10" style="18" customWidth="1"/>
    <col min="1285" max="1285" width="12.5703125" style="18" bestFit="1" customWidth="1"/>
    <col min="1286" max="1286" width="14.5703125" style="18" customWidth="1"/>
    <col min="1287" max="1287" width="18.42578125" style="18" customWidth="1"/>
    <col min="1288" max="1288" width="17.7109375" style="18" customWidth="1"/>
    <col min="1289" max="1289" width="14.42578125" style="18" customWidth="1"/>
    <col min="1290" max="1290" width="14.5703125" style="18" customWidth="1"/>
    <col min="1291" max="1291" width="16.140625" style="18" customWidth="1"/>
    <col min="1292" max="1292" width="12" style="18" customWidth="1"/>
    <col min="1293" max="1293" width="13.28515625" style="18" customWidth="1"/>
    <col min="1294" max="1294" width="12.85546875" style="18" customWidth="1"/>
    <col min="1295" max="1304" width="6.7109375" style="18" customWidth="1"/>
    <col min="1305" max="1529" width="11.42578125" style="18" customWidth="1"/>
    <col min="1530" max="1530" width="14.7109375" style="18" customWidth="1"/>
    <col min="1531" max="1532" width="11.42578125" style="18" customWidth="1"/>
    <col min="1533" max="1533" width="16.7109375" style="18" customWidth="1"/>
    <col min="1534" max="1534" width="11.42578125" style="18" customWidth="1"/>
    <col min="1535" max="1535" width="19" style="18" customWidth="1"/>
    <col min="1536" max="1536" width="23.42578125" style="18"/>
    <col min="1537" max="1537" width="14.7109375" style="18" customWidth="1"/>
    <col min="1538" max="1539" width="11.42578125" style="18" customWidth="1"/>
    <col min="1540" max="1540" width="10" style="18" customWidth="1"/>
    <col min="1541" max="1541" width="12.5703125" style="18" bestFit="1" customWidth="1"/>
    <col min="1542" max="1542" width="14.5703125" style="18" customWidth="1"/>
    <col min="1543" max="1543" width="18.42578125" style="18" customWidth="1"/>
    <col min="1544" max="1544" width="17.7109375" style="18" customWidth="1"/>
    <col min="1545" max="1545" width="14.42578125" style="18" customWidth="1"/>
    <col min="1546" max="1546" width="14.5703125" style="18" customWidth="1"/>
    <col min="1547" max="1547" width="16.140625" style="18" customWidth="1"/>
    <col min="1548" max="1548" width="12" style="18" customWidth="1"/>
    <col min="1549" max="1549" width="13.28515625" style="18" customWidth="1"/>
    <col min="1550" max="1550" width="12.85546875" style="18" customWidth="1"/>
    <col min="1551" max="1560" width="6.7109375" style="18" customWidth="1"/>
    <col min="1561" max="1785" width="11.42578125" style="18" customWidth="1"/>
    <col min="1786" max="1786" width="14.7109375" style="18" customWidth="1"/>
    <col min="1787" max="1788" width="11.42578125" style="18" customWidth="1"/>
    <col min="1789" max="1789" width="16.7109375" style="18" customWidth="1"/>
    <col min="1790" max="1790" width="11.42578125" style="18" customWidth="1"/>
    <col min="1791" max="1791" width="19" style="18" customWidth="1"/>
    <col min="1792" max="1792" width="23.42578125" style="18"/>
    <col min="1793" max="1793" width="14.7109375" style="18" customWidth="1"/>
    <col min="1794" max="1795" width="11.42578125" style="18" customWidth="1"/>
    <col min="1796" max="1796" width="10" style="18" customWidth="1"/>
    <col min="1797" max="1797" width="12.5703125" style="18" bestFit="1" customWidth="1"/>
    <col min="1798" max="1798" width="14.5703125" style="18" customWidth="1"/>
    <col min="1799" max="1799" width="18.42578125" style="18" customWidth="1"/>
    <col min="1800" max="1800" width="17.7109375" style="18" customWidth="1"/>
    <col min="1801" max="1801" width="14.42578125" style="18" customWidth="1"/>
    <col min="1802" max="1802" width="14.5703125" style="18" customWidth="1"/>
    <col min="1803" max="1803" width="16.140625" style="18" customWidth="1"/>
    <col min="1804" max="1804" width="12" style="18" customWidth="1"/>
    <col min="1805" max="1805" width="13.28515625" style="18" customWidth="1"/>
    <col min="1806" max="1806" width="12.85546875" style="18" customWidth="1"/>
    <col min="1807" max="1816" width="6.7109375" style="18" customWidth="1"/>
    <col min="1817" max="2041" width="11.42578125" style="18" customWidth="1"/>
    <col min="2042" max="2042" width="14.7109375" style="18" customWidth="1"/>
    <col min="2043" max="2044" width="11.42578125" style="18" customWidth="1"/>
    <col min="2045" max="2045" width="16.7109375" style="18" customWidth="1"/>
    <col min="2046" max="2046" width="11.42578125" style="18" customWidth="1"/>
    <col min="2047" max="2047" width="19" style="18" customWidth="1"/>
    <col min="2048" max="2048" width="23.42578125" style="18"/>
    <col min="2049" max="2049" width="14.7109375" style="18" customWidth="1"/>
    <col min="2050" max="2051" width="11.42578125" style="18" customWidth="1"/>
    <col min="2052" max="2052" width="10" style="18" customWidth="1"/>
    <col min="2053" max="2053" width="12.5703125" style="18" bestFit="1" customWidth="1"/>
    <col min="2054" max="2054" width="14.5703125" style="18" customWidth="1"/>
    <col min="2055" max="2055" width="18.42578125" style="18" customWidth="1"/>
    <col min="2056" max="2056" width="17.7109375" style="18" customWidth="1"/>
    <col min="2057" max="2057" width="14.42578125" style="18" customWidth="1"/>
    <col min="2058" max="2058" width="14.5703125" style="18" customWidth="1"/>
    <col min="2059" max="2059" width="16.140625" style="18" customWidth="1"/>
    <col min="2060" max="2060" width="12" style="18" customWidth="1"/>
    <col min="2061" max="2061" width="13.28515625" style="18" customWidth="1"/>
    <col min="2062" max="2062" width="12.85546875" style="18" customWidth="1"/>
    <col min="2063" max="2072" width="6.7109375" style="18" customWidth="1"/>
    <col min="2073" max="2297" width="11.42578125" style="18" customWidth="1"/>
    <col min="2298" max="2298" width="14.7109375" style="18" customWidth="1"/>
    <col min="2299" max="2300" width="11.42578125" style="18" customWidth="1"/>
    <col min="2301" max="2301" width="16.7109375" style="18" customWidth="1"/>
    <col min="2302" max="2302" width="11.42578125" style="18" customWidth="1"/>
    <col min="2303" max="2303" width="19" style="18" customWidth="1"/>
    <col min="2304" max="2304" width="23.42578125" style="18"/>
    <col min="2305" max="2305" width="14.7109375" style="18" customWidth="1"/>
    <col min="2306" max="2307" width="11.42578125" style="18" customWidth="1"/>
    <col min="2308" max="2308" width="10" style="18" customWidth="1"/>
    <col min="2309" max="2309" width="12.5703125" style="18" bestFit="1" customWidth="1"/>
    <col min="2310" max="2310" width="14.5703125" style="18" customWidth="1"/>
    <col min="2311" max="2311" width="18.42578125" style="18" customWidth="1"/>
    <col min="2312" max="2312" width="17.7109375" style="18" customWidth="1"/>
    <col min="2313" max="2313" width="14.42578125" style="18" customWidth="1"/>
    <col min="2314" max="2314" width="14.5703125" style="18" customWidth="1"/>
    <col min="2315" max="2315" width="16.140625" style="18" customWidth="1"/>
    <col min="2316" max="2316" width="12" style="18" customWidth="1"/>
    <col min="2317" max="2317" width="13.28515625" style="18" customWidth="1"/>
    <col min="2318" max="2318" width="12.85546875" style="18" customWidth="1"/>
    <col min="2319" max="2328" width="6.7109375" style="18" customWidth="1"/>
    <col min="2329" max="2553" width="11.42578125" style="18" customWidth="1"/>
    <col min="2554" max="2554" width="14.7109375" style="18" customWidth="1"/>
    <col min="2555" max="2556" width="11.42578125" style="18" customWidth="1"/>
    <col min="2557" max="2557" width="16.7109375" style="18" customWidth="1"/>
    <col min="2558" max="2558" width="11.42578125" style="18" customWidth="1"/>
    <col min="2559" max="2559" width="19" style="18" customWidth="1"/>
    <col min="2560" max="2560" width="23.42578125" style="18"/>
    <col min="2561" max="2561" width="14.7109375" style="18" customWidth="1"/>
    <col min="2562" max="2563" width="11.42578125" style="18" customWidth="1"/>
    <col min="2564" max="2564" width="10" style="18" customWidth="1"/>
    <col min="2565" max="2565" width="12.5703125" style="18" bestFit="1" customWidth="1"/>
    <col min="2566" max="2566" width="14.5703125" style="18" customWidth="1"/>
    <col min="2567" max="2567" width="18.42578125" style="18" customWidth="1"/>
    <col min="2568" max="2568" width="17.7109375" style="18" customWidth="1"/>
    <col min="2569" max="2569" width="14.42578125" style="18" customWidth="1"/>
    <col min="2570" max="2570" width="14.5703125" style="18" customWidth="1"/>
    <col min="2571" max="2571" width="16.140625" style="18" customWidth="1"/>
    <col min="2572" max="2572" width="12" style="18" customWidth="1"/>
    <col min="2573" max="2573" width="13.28515625" style="18" customWidth="1"/>
    <col min="2574" max="2574" width="12.85546875" style="18" customWidth="1"/>
    <col min="2575" max="2584" width="6.7109375" style="18" customWidth="1"/>
    <col min="2585" max="2809" width="11.42578125" style="18" customWidth="1"/>
    <col min="2810" max="2810" width="14.7109375" style="18" customWidth="1"/>
    <col min="2811" max="2812" width="11.42578125" style="18" customWidth="1"/>
    <col min="2813" max="2813" width="16.7109375" style="18" customWidth="1"/>
    <col min="2814" max="2814" width="11.42578125" style="18" customWidth="1"/>
    <col min="2815" max="2815" width="19" style="18" customWidth="1"/>
    <col min="2816" max="2816" width="23.42578125" style="18"/>
    <col min="2817" max="2817" width="14.7109375" style="18" customWidth="1"/>
    <col min="2818" max="2819" width="11.42578125" style="18" customWidth="1"/>
    <col min="2820" max="2820" width="10" style="18" customWidth="1"/>
    <col min="2821" max="2821" width="12.5703125" style="18" bestFit="1" customWidth="1"/>
    <col min="2822" max="2822" width="14.5703125" style="18" customWidth="1"/>
    <col min="2823" max="2823" width="18.42578125" style="18" customWidth="1"/>
    <col min="2824" max="2824" width="17.7109375" style="18" customWidth="1"/>
    <col min="2825" max="2825" width="14.42578125" style="18" customWidth="1"/>
    <col min="2826" max="2826" width="14.5703125" style="18" customWidth="1"/>
    <col min="2827" max="2827" width="16.140625" style="18" customWidth="1"/>
    <col min="2828" max="2828" width="12" style="18" customWidth="1"/>
    <col min="2829" max="2829" width="13.28515625" style="18" customWidth="1"/>
    <col min="2830" max="2830" width="12.85546875" style="18" customWidth="1"/>
    <col min="2831" max="2840" width="6.7109375" style="18" customWidth="1"/>
    <col min="2841" max="3065" width="11.42578125" style="18" customWidth="1"/>
    <col min="3066" max="3066" width="14.7109375" style="18" customWidth="1"/>
    <col min="3067" max="3068" width="11.42578125" style="18" customWidth="1"/>
    <col min="3069" max="3069" width="16.7109375" style="18" customWidth="1"/>
    <col min="3070" max="3070" width="11.42578125" style="18" customWidth="1"/>
    <col min="3071" max="3071" width="19" style="18" customWidth="1"/>
    <col min="3072" max="3072" width="23.42578125" style="18"/>
    <col min="3073" max="3073" width="14.7109375" style="18" customWidth="1"/>
    <col min="3074" max="3075" width="11.42578125" style="18" customWidth="1"/>
    <col min="3076" max="3076" width="10" style="18" customWidth="1"/>
    <col min="3077" max="3077" width="12.5703125" style="18" bestFit="1" customWidth="1"/>
    <col min="3078" max="3078" width="14.5703125" style="18" customWidth="1"/>
    <col min="3079" max="3079" width="18.42578125" style="18" customWidth="1"/>
    <col min="3080" max="3080" width="17.7109375" style="18" customWidth="1"/>
    <col min="3081" max="3081" width="14.42578125" style="18" customWidth="1"/>
    <col min="3082" max="3082" width="14.5703125" style="18" customWidth="1"/>
    <col min="3083" max="3083" width="16.140625" style="18" customWidth="1"/>
    <col min="3084" max="3084" width="12" style="18" customWidth="1"/>
    <col min="3085" max="3085" width="13.28515625" style="18" customWidth="1"/>
    <col min="3086" max="3086" width="12.85546875" style="18" customWidth="1"/>
    <col min="3087" max="3096" width="6.7109375" style="18" customWidth="1"/>
    <col min="3097" max="3321" width="11.42578125" style="18" customWidth="1"/>
    <col min="3322" max="3322" width="14.7109375" style="18" customWidth="1"/>
    <col min="3323" max="3324" width="11.42578125" style="18" customWidth="1"/>
    <col min="3325" max="3325" width="16.7109375" style="18" customWidth="1"/>
    <col min="3326" max="3326" width="11.42578125" style="18" customWidth="1"/>
    <col min="3327" max="3327" width="19" style="18" customWidth="1"/>
    <col min="3328" max="3328" width="23.42578125" style="18"/>
    <col min="3329" max="3329" width="14.7109375" style="18" customWidth="1"/>
    <col min="3330" max="3331" width="11.42578125" style="18" customWidth="1"/>
    <col min="3332" max="3332" width="10" style="18" customWidth="1"/>
    <col min="3333" max="3333" width="12.5703125" style="18" bestFit="1" customWidth="1"/>
    <col min="3334" max="3334" width="14.5703125" style="18" customWidth="1"/>
    <col min="3335" max="3335" width="18.42578125" style="18" customWidth="1"/>
    <col min="3336" max="3336" width="17.7109375" style="18" customWidth="1"/>
    <col min="3337" max="3337" width="14.42578125" style="18" customWidth="1"/>
    <col min="3338" max="3338" width="14.5703125" style="18" customWidth="1"/>
    <col min="3339" max="3339" width="16.140625" style="18" customWidth="1"/>
    <col min="3340" max="3340" width="12" style="18" customWidth="1"/>
    <col min="3341" max="3341" width="13.28515625" style="18" customWidth="1"/>
    <col min="3342" max="3342" width="12.85546875" style="18" customWidth="1"/>
    <col min="3343" max="3352" width="6.7109375" style="18" customWidth="1"/>
    <col min="3353" max="3577" width="11.42578125" style="18" customWidth="1"/>
    <col min="3578" max="3578" width="14.7109375" style="18" customWidth="1"/>
    <col min="3579" max="3580" width="11.42578125" style="18" customWidth="1"/>
    <col min="3581" max="3581" width="16.7109375" style="18" customWidth="1"/>
    <col min="3582" max="3582" width="11.42578125" style="18" customWidth="1"/>
    <col min="3583" max="3583" width="19" style="18" customWidth="1"/>
    <col min="3584" max="3584" width="23.42578125" style="18"/>
    <col min="3585" max="3585" width="14.7109375" style="18" customWidth="1"/>
    <col min="3586" max="3587" width="11.42578125" style="18" customWidth="1"/>
    <col min="3588" max="3588" width="10" style="18" customWidth="1"/>
    <col min="3589" max="3589" width="12.5703125" style="18" bestFit="1" customWidth="1"/>
    <col min="3590" max="3590" width="14.5703125" style="18" customWidth="1"/>
    <col min="3591" max="3591" width="18.42578125" style="18" customWidth="1"/>
    <col min="3592" max="3592" width="17.7109375" style="18" customWidth="1"/>
    <col min="3593" max="3593" width="14.42578125" style="18" customWidth="1"/>
    <col min="3594" max="3594" width="14.5703125" style="18" customWidth="1"/>
    <col min="3595" max="3595" width="16.140625" style="18" customWidth="1"/>
    <col min="3596" max="3596" width="12" style="18" customWidth="1"/>
    <col min="3597" max="3597" width="13.28515625" style="18" customWidth="1"/>
    <col min="3598" max="3598" width="12.85546875" style="18" customWidth="1"/>
    <col min="3599" max="3608" width="6.7109375" style="18" customWidth="1"/>
    <col min="3609" max="3833" width="11.42578125" style="18" customWidth="1"/>
    <col min="3834" max="3834" width="14.7109375" style="18" customWidth="1"/>
    <col min="3835" max="3836" width="11.42578125" style="18" customWidth="1"/>
    <col min="3837" max="3837" width="16.7109375" style="18" customWidth="1"/>
    <col min="3838" max="3838" width="11.42578125" style="18" customWidth="1"/>
    <col min="3839" max="3839" width="19" style="18" customWidth="1"/>
    <col min="3840" max="3840" width="23.42578125" style="18"/>
    <col min="3841" max="3841" width="14.7109375" style="18" customWidth="1"/>
    <col min="3842" max="3843" width="11.42578125" style="18" customWidth="1"/>
    <col min="3844" max="3844" width="10" style="18" customWidth="1"/>
    <col min="3845" max="3845" width="12.5703125" style="18" bestFit="1" customWidth="1"/>
    <col min="3846" max="3846" width="14.5703125" style="18" customWidth="1"/>
    <col min="3847" max="3847" width="18.42578125" style="18" customWidth="1"/>
    <col min="3848" max="3848" width="17.7109375" style="18" customWidth="1"/>
    <col min="3849" max="3849" width="14.42578125" style="18" customWidth="1"/>
    <col min="3850" max="3850" width="14.5703125" style="18" customWidth="1"/>
    <col min="3851" max="3851" width="16.140625" style="18" customWidth="1"/>
    <col min="3852" max="3852" width="12" style="18" customWidth="1"/>
    <col min="3853" max="3853" width="13.28515625" style="18" customWidth="1"/>
    <col min="3854" max="3854" width="12.85546875" style="18" customWidth="1"/>
    <col min="3855" max="3864" width="6.7109375" style="18" customWidth="1"/>
    <col min="3865" max="4089" width="11.42578125" style="18" customWidth="1"/>
    <col min="4090" max="4090" width="14.7109375" style="18" customWidth="1"/>
    <col min="4091" max="4092" width="11.42578125" style="18" customWidth="1"/>
    <col min="4093" max="4093" width="16.7109375" style="18" customWidth="1"/>
    <col min="4094" max="4094" width="11.42578125" style="18" customWidth="1"/>
    <col min="4095" max="4095" width="19" style="18" customWidth="1"/>
    <col min="4096" max="4096" width="23.42578125" style="18"/>
    <col min="4097" max="4097" width="14.7109375" style="18" customWidth="1"/>
    <col min="4098" max="4099" width="11.42578125" style="18" customWidth="1"/>
    <col min="4100" max="4100" width="10" style="18" customWidth="1"/>
    <col min="4101" max="4101" width="12.5703125" style="18" bestFit="1" customWidth="1"/>
    <col min="4102" max="4102" width="14.5703125" style="18" customWidth="1"/>
    <col min="4103" max="4103" width="18.42578125" style="18" customWidth="1"/>
    <col min="4104" max="4104" width="17.7109375" style="18" customWidth="1"/>
    <col min="4105" max="4105" width="14.42578125" style="18" customWidth="1"/>
    <col min="4106" max="4106" width="14.5703125" style="18" customWidth="1"/>
    <col min="4107" max="4107" width="16.140625" style="18" customWidth="1"/>
    <col min="4108" max="4108" width="12" style="18" customWidth="1"/>
    <col min="4109" max="4109" width="13.28515625" style="18" customWidth="1"/>
    <col min="4110" max="4110" width="12.85546875" style="18" customWidth="1"/>
    <col min="4111" max="4120" width="6.7109375" style="18" customWidth="1"/>
    <col min="4121" max="4345" width="11.42578125" style="18" customWidth="1"/>
    <col min="4346" max="4346" width="14.7109375" style="18" customWidth="1"/>
    <col min="4347" max="4348" width="11.42578125" style="18" customWidth="1"/>
    <col min="4349" max="4349" width="16.7109375" style="18" customWidth="1"/>
    <col min="4350" max="4350" width="11.42578125" style="18" customWidth="1"/>
    <col min="4351" max="4351" width="19" style="18" customWidth="1"/>
    <col min="4352" max="4352" width="23.42578125" style="18"/>
    <col min="4353" max="4353" width="14.7109375" style="18" customWidth="1"/>
    <col min="4354" max="4355" width="11.42578125" style="18" customWidth="1"/>
    <col min="4356" max="4356" width="10" style="18" customWidth="1"/>
    <col min="4357" max="4357" width="12.5703125" style="18" bestFit="1" customWidth="1"/>
    <col min="4358" max="4358" width="14.5703125" style="18" customWidth="1"/>
    <col min="4359" max="4359" width="18.42578125" style="18" customWidth="1"/>
    <col min="4360" max="4360" width="17.7109375" style="18" customWidth="1"/>
    <col min="4361" max="4361" width="14.42578125" style="18" customWidth="1"/>
    <col min="4362" max="4362" width="14.5703125" style="18" customWidth="1"/>
    <col min="4363" max="4363" width="16.140625" style="18" customWidth="1"/>
    <col min="4364" max="4364" width="12" style="18" customWidth="1"/>
    <col min="4365" max="4365" width="13.28515625" style="18" customWidth="1"/>
    <col min="4366" max="4366" width="12.85546875" style="18" customWidth="1"/>
    <col min="4367" max="4376" width="6.7109375" style="18" customWidth="1"/>
    <col min="4377" max="4601" width="11.42578125" style="18" customWidth="1"/>
    <col min="4602" max="4602" width="14.7109375" style="18" customWidth="1"/>
    <col min="4603" max="4604" width="11.42578125" style="18" customWidth="1"/>
    <col min="4605" max="4605" width="16.7109375" style="18" customWidth="1"/>
    <col min="4606" max="4606" width="11.42578125" style="18" customWidth="1"/>
    <col min="4607" max="4607" width="19" style="18" customWidth="1"/>
    <col min="4608" max="4608" width="23.42578125" style="18"/>
    <col min="4609" max="4609" width="14.7109375" style="18" customWidth="1"/>
    <col min="4610" max="4611" width="11.42578125" style="18" customWidth="1"/>
    <col min="4612" max="4612" width="10" style="18" customWidth="1"/>
    <col min="4613" max="4613" width="12.5703125" style="18" bestFit="1" customWidth="1"/>
    <col min="4614" max="4614" width="14.5703125" style="18" customWidth="1"/>
    <col min="4615" max="4615" width="18.42578125" style="18" customWidth="1"/>
    <col min="4616" max="4616" width="17.7109375" style="18" customWidth="1"/>
    <col min="4617" max="4617" width="14.42578125" style="18" customWidth="1"/>
    <col min="4618" max="4618" width="14.5703125" style="18" customWidth="1"/>
    <col min="4619" max="4619" width="16.140625" style="18" customWidth="1"/>
    <col min="4620" max="4620" width="12" style="18" customWidth="1"/>
    <col min="4621" max="4621" width="13.28515625" style="18" customWidth="1"/>
    <col min="4622" max="4622" width="12.85546875" style="18" customWidth="1"/>
    <col min="4623" max="4632" width="6.7109375" style="18" customWidth="1"/>
    <col min="4633" max="4857" width="11.42578125" style="18" customWidth="1"/>
    <col min="4858" max="4858" width="14.7109375" style="18" customWidth="1"/>
    <col min="4859" max="4860" width="11.42578125" style="18" customWidth="1"/>
    <col min="4861" max="4861" width="16.7109375" style="18" customWidth="1"/>
    <col min="4862" max="4862" width="11.42578125" style="18" customWidth="1"/>
    <col min="4863" max="4863" width="19" style="18" customWidth="1"/>
    <col min="4864" max="4864" width="23.42578125" style="18"/>
    <col min="4865" max="4865" width="14.7109375" style="18" customWidth="1"/>
    <col min="4866" max="4867" width="11.42578125" style="18" customWidth="1"/>
    <col min="4868" max="4868" width="10" style="18" customWidth="1"/>
    <col min="4869" max="4869" width="12.5703125" style="18" bestFit="1" customWidth="1"/>
    <col min="4870" max="4870" width="14.5703125" style="18" customWidth="1"/>
    <col min="4871" max="4871" width="18.42578125" style="18" customWidth="1"/>
    <col min="4872" max="4872" width="17.7109375" style="18" customWidth="1"/>
    <col min="4873" max="4873" width="14.42578125" style="18" customWidth="1"/>
    <col min="4874" max="4874" width="14.5703125" style="18" customWidth="1"/>
    <col min="4875" max="4875" width="16.140625" style="18" customWidth="1"/>
    <col min="4876" max="4876" width="12" style="18" customWidth="1"/>
    <col min="4877" max="4877" width="13.28515625" style="18" customWidth="1"/>
    <col min="4878" max="4878" width="12.85546875" style="18" customWidth="1"/>
    <col min="4879" max="4888" width="6.7109375" style="18" customWidth="1"/>
    <col min="4889" max="5113" width="11.42578125" style="18" customWidth="1"/>
    <col min="5114" max="5114" width="14.7109375" style="18" customWidth="1"/>
    <col min="5115" max="5116" width="11.42578125" style="18" customWidth="1"/>
    <col min="5117" max="5117" width="16.7109375" style="18" customWidth="1"/>
    <col min="5118" max="5118" width="11.42578125" style="18" customWidth="1"/>
    <col min="5119" max="5119" width="19" style="18" customWidth="1"/>
    <col min="5120" max="5120" width="23.42578125" style="18"/>
    <col min="5121" max="5121" width="14.7109375" style="18" customWidth="1"/>
    <col min="5122" max="5123" width="11.42578125" style="18" customWidth="1"/>
    <col min="5124" max="5124" width="10" style="18" customWidth="1"/>
    <col min="5125" max="5125" width="12.5703125" style="18" bestFit="1" customWidth="1"/>
    <col min="5126" max="5126" width="14.5703125" style="18" customWidth="1"/>
    <col min="5127" max="5127" width="18.42578125" style="18" customWidth="1"/>
    <col min="5128" max="5128" width="17.7109375" style="18" customWidth="1"/>
    <col min="5129" max="5129" width="14.42578125" style="18" customWidth="1"/>
    <col min="5130" max="5130" width="14.5703125" style="18" customWidth="1"/>
    <col min="5131" max="5131" width="16.140625" style="18" customWidth="1"/>
    <col min="5132" max="5132" width="12" style="18" customWidth="1"/>
    <col min="5133" max="5133" width="13.28515625" style="18" customWidth="1"/>
    <col min="5134" max="5134" width="12.85546875" style="18" customWidth="1"/>
    <col min="5135" max="5144" width="6.7109375" style="18" customWidth="1"/>
    <col min="5145" max="5369" width="11.42578125" style="18" customWidth="1"/>
    <col min="5370" max="5370" width="14.7109375" style="18" customWidth="1"/>
    <col min="5371" max="5372" width="11.42578125" style="18" customWidth="1"/>
    <col min="5373" max="5373" width="16.7109375" style="18" customWidth="1"/>
    <col min="5374" max="5374" width="11.42578125" style="18" customWidth="1"/>
    <col min="5375" max="5375" width="19" style="18" customWidth="1"/>
    <col min="5376" max="5376" width="23.42578125" style="18"/>
    <col min="5377" max="5377" width="14.7109375" style="18" customWidth="1"/>
    <col min="5378" max="5379" width="11.42578125" style="18" customWidth="1"/>
    <col min="5380" max="5380" width="10" style="18" customWidth="1"/>
    <col min="5381" max="5381" width="12.5703125" style="18" bestFit="1" customWidth="1"/>
    <col min="5382" max="5382" width="14.5703125" style="18" customWidth="1"/>
    <col min="5383" max="5383" width="18.42578125" style="18" customWidth="1"/>
    <col min="5384" max="5384" width="17.7109375" style="18" customWidth="1"/>
    <col min="5385" max="5385" width="14.42578125" style="18" customWidth="1"/>
    <col min="5386" max="5386" width="14.5703125" style="18" customWidth="1"/>
    <col min="5387" max="5387" width="16.140625" style="18" customWidth="1"/>
    <col min="5388" max="5388" width="12" style="18" customWidth="1"/>
    <col min="5389" max="5389" width="13.28515625" style="18" customWidth="1"/>
    <col min="5390" max="5390" width="12.85546875" style="18" customWidth="1"/>
    <col min="5391" max="5400" width="6.7109375" style="18" customWidth="1"/>
    <col min="5401" max="5625" width="11.42578125" style="18" customWidth="1"/>
    <col min="5626" max="5626" width="14.7109375" style="18" customWidth="1"/>
    <col min="5627" max="5628" width="11.42578125" style="18" customWidth="1"/>
    <col min="5629" max="5629" width="16.7109375" style="18" customWidth="1"/>
    <col min="5630" max="5630" width="11.42578125" style="18" customWidth="1"/>
    <col min="5631" max="5631" width="19" style="18" customWidth="1"/>
    <col min="5632" max="5632" width="23.42578125" style="18"/>
    <col min="5633" max="5633" width="14.7109375" style="18" customWidth="1"/>
    <col min="5634" max="5635" width="11.42578125" style="18" customWidth="1"/>
    <col min="5636" max="5636" width="10" style="18" customWidth="1"/>
    <col min="5637" max="5637" width="12.5703125" style="18" bestFit="1" customWidth="1"/>
    <col min="5638" max="5638" width="14.5703125" style="18" customWidth="1"/>
    <col min="5639" max="5639" width="18.42578125" style="18" customWidth="1"/>
    <col min="5640" max="5640" width="17.7109375" style="18" customWidth="1"/>
    <col min="5641" max="5641" width="14.42578125" style="18" customWidth="1"/>
    <col min="5642" max="5642" width="14.5703125" style="18" customWidth="1"/>
    <col min="5643" max="5643" width="16.140625" style="18" customWidth="1"/>
    <col min="5644" max="5644" width="12" style="18" customWidth="1"/>
    <col min="5645" max="5645" width="13.28515625" style="18" customWidth="1"/>
    <col min="5646" max="5646" width="12.85546875" style="18" customWidth="1"/>
    <col min="5647" max="5656" width="6.7109375" style="18" customWidth="1"/>
    <col min="5657" max="5881" width="11.42578125" style="18" customWidth="1"/>
    <col min="5882" max="5882" width="14.7109375" style="18" customWidth="1"/>
    <col min="5883" max="5884" width="11.42578125" style="18" customWidth="1"/>
    <col min="5885" max="5885" width="16.7109375" style="18" customWidth="1"/>
    <col min="5886" max="5886" width="11.42578125" style="18" customWidth="1"/>
    <col min="5887" max="5887" width="19" style="18" customWidth="1"/>
    <col min="5888" max="5888" width="23.42578125" style="18"/>
    <col min="5889" max="5889" width="14.7109375" style="18" customWidth="1"/>
    <col min="5890" max="5891" width="11.42578125" style="18" customWidth="1"/>
    <col min="5892" max="5892" width="10" style="18" customWidth="1"/>
    <col min="5893" max="5893" width="12.5703125" style="18" bestFit="1" customWidth="1"/>
    <col min="5894" max="5894" width="14.5703125" style="18" customWidth="1"/>
    <col min="5895" max="5895" width="18.42578125" style="18" customWidth="1"/>
    <col min="5896" max="5896" width="17.7109375" style="18" customWidth="1"/>
    <col min="5897" max="5897" width="14.42578125" style="18" customWidth="1"/>
    <col min="5898" max="5898" width="14.5703125" style="18" customWidth="1"/>
    <col min="5899" max="5899" width="16.140625" style="18" customWidth="1"/>
    <col min="5900" max="5900" width="12" style="18" customWidth="1"/>
    <col min="5901" max="5901" width="13.28515625" style="18" customWidth="1"/>
    <col min="5902" max="5902" width="12.85546875" style="18" customWidth="1"/>
    <col min="5903" max="5912" width="6.7109375" style="18" customWidth="1"/>
    <col min="5913" max="6137" width="11.42578125" style="18" customWidth="1"/>
    <col min="6138" max="6138" width="14.7109375" style="18" customWidth="1"/>
    <col min="6139" max="6140" width="11.42578125" style="18" customWidth="1"/>
    <col min="6141" max="6141" width="16.7109375" style="18" customWidth="1"/>
    <col min="6142" max="6142" width="11.42578125" style="18" customWidth="1"/>
    <col min="6143" max="6143" width="19" style="18" customWidth="1"/>
    <col min="6144" max="6144" width="23.42578125" style="18"/>
    <col min="6145" max="6145" width="14.7109375" style="18" customWidth="1"/>
    <col min="6146" max="6147" width="11.42578125" style="18" customWidth="1"/>
    <col min="6148" max="6148" width="10" style="18" customWidth="1"/>
    <col min="6149" max="6149" width="12.5703125" style="18" bestFit="1" customWidth="1"/>
    <col min="6150" max="6150" width="14.5703125" style="18" customWidth="1"/>
    <col min="6151" max="6151" width="18.42578125" style="18" customWidth="1"/>
    <col min="6152" max="6152" width="17.7109375" style="18" customWidth="1"/>
    <col min="6153" max="6153" width="14.42578125" style="18" customWidth="1"/>
    <col min="6154" max="6154" width="14.5703125" style="18" customWidth="1"/>
    <col min="6155" max="6155" width="16.140625" style="18" customWidth="1"/>
    <col min="6156" max="6156" width="12" style="18" customWidth="1"/>
    <col min="6157" max="6157" width="13.28515625" style="18" customWidth="1"/>
    <col min="6158" max="6158" width="12.85546875" style="18" customWidth="1"/>
    <col min="6159" max="6168" width="6.7109375" style="18" customWidth="1"/>
    <col min="6169" max="6393" width="11.42578125" style="18" customWidth="1"/>
    <col min="6394" max="6394" width="14.7109375" style="18" customWidth="1"/>
    <col min="6395" max="6396" width="11.42578125" style="18" customWidth="1"/>
    <col min="6397" max="6397" width="16.7109375" style="18" customWidth="1"/>
    <col min="6398" max="6398" width="11.42578125" style="18" customWidth="1"/>
    <col min="6399" max="6399" width="19" style="18" customWidth="1"/>
    <col min="6400" max="6400" width="23.42578125" style="18"/>
    <col min="6401" max="6401" width="14.7109375" style="18" customWidth="1"/>
    <col min="6402" max="6403" width="11.42578125" style="18" customWidth="1"/>
    <col min="6404" max="6404" width="10" style="18" customWidth="1"/>
    <col min="6405" max="6405" width="12.5703125" style="18" bestFit="1" customWidth="1"/>
    <col min="6406" max="6406" width="14.5703125" style="18" customWidth="1"/>
    <col min="6407" max="6407" width="18.42578125" style="18" customWidth="1"/>
    <col min="6408" max="6408" width="17.7109375" style="18" customWidth="1"/>
    <col min="6409" max="6409" width="14.42578125" style="18" customWidth="1"/>
    <col min="6410" max="6410" width="14.5703125" style="18" customWidth="1"/>
    <col min="6411" max="6411" width="16.140625" style="18" customWidth="1"/>
    <col min="6412" max="6412" width="12" style="18" customWidth="1"/>
    <col min="6413" max="6413" width="13.28515625" style="18" customWidth="1"/>
    <col min="6414" max="6414" width="12.85546875" style="18" customWidth="1"/>
    <col min="6415" max="6424" width="6.7109375" style="18" customWidth="1"/>
    <col min="6425" max="6649" width="11.42578125" style="18" customWidth="1"/>
    <col min="6650" max="6650" width="14.7109375" style="18" customWidth="1"/>
    <col min="6651" max="6652" width="11.42578125" style="18" customWidth="1"/>
    <col min="6653" max="6653" width="16.7109375" style="18" customWidth="1"/>
    <col min="6654" max="6654" width="11.42578125" style="18" customWidth="1"/>
    <col min="6655" max="6655" width="19" style="18" customWidth="1"/>
    <col min="6656" max="6656" width="23.42578125" style="18"/>
    <col min="6657" max="6657" width="14.7109375" style="18" customWidth="1"/>
    <col min="6658" max="6659" width="11.42578125" style="18" customWidth="1"/>
    <col min="6660" max="6660" width="10" style="18" customWidth="1"/>
    <col min="6661" max="6661" width="12.5703125" style="18" bestFit="1" customWidth="1"/>
    <col min="6662" max="6662" width="14.5703125" style="18" customWidth="1"/>
    <col min="6663" max="6663" width="18.42578125" style="18" customWidth="1"/>
    <col min="6664" max="6664" width="17.7109375" style="18" customWidth="1"/>
    <col min="6665" max="6665" width="14.42578125" style="18" customWidth="1"/>
    <col min="6666" max="6666" width="14.5703125" style="18" customWidth="1"/>
    <col min="6667" max="6667" width="16.140625" style="18" customWidth="1"/>
    <col min="6668" max="6668" width="12" style="18" customWidth="1"/>
    <col min="6669" max="6669" width="13.28515625" style="18" customWidth="1"/>
    <col min="6670" max="6670" width="12.85546875" style="18" customWidth="1"/>
    <col min="6671" max="6680" width="6.7109375" style="18" customWidth="1"/>
    <col min="6681" max="6905" width="11.42578125" style="18" customWidth="1"/>
    <col min="6906" max="6906" width="14.7109375" style="18" customWidth="1"/>
    <col min="6907" max="6908" width="11.42578125" style="18" customWidth="1"/>
    <col min="6909" max="6909" width="16.7109375" style="18" customWidth="1"/>
    <col min="6910" max="6910" width="11.42578125" style="18" customWidth="1"/>
    <col min="6911" max="6911" width="19" style="18" customWidth="1"/>
    <col min="6912" max="6912" width="23.42578125" style="18"/>
    <col min="6913" max="6913" width="14.7109375" style="18" customWidth="1"/>
    <col min="6914" max="6915" width="11.42578125" style="18" customWidth="1"/>
    <col min="6916" max="6916" width="10" style="18" customWidth="1"/>
    <col min="6917" max="6917" width="12.5703125" style="18" bestFit="1" customWidth="1"/>
    <col min="6918" max="6918" width="14.5703125" style="18" customWidth="1"/>
    <col min="6919" max="6919" width="18.42578125" style="18" customWidth="1"/>
    <col min="6920" max="6920" width="17.7109375" style="18" customWidth="1"/>
    <col min="6921" max="6921" width="14.42578125" style="18" customWidth="1"/>
    <col min="6922" max="6922" width="14.5703125" style="18" customWidth="1"/>
    <col min="6923" max="6923" width="16.140625" style="18" customWidth="1"/>
    <col min="6924" max="6924" width="12" style="18" customWidth="1"/>
    <col min="6925" max="6925" width="13.28515625" style="18" customWidth="1"/>
    <col min="6926" max="6926" width="12.85546875" style="18" customWidth="1"/>
    <col min="6927" max="6936" width="6.7109375" style="18" customWidth="1"/>
    <col min="6937" max="7161" width="11.42578125" style="18" customWidth="1"/>
    <col min="7162" max="7162" width="14.7109375" style="18" customWidth="1"/>
    <col min="7163" max="7164" width="11.42578125" style="18" customWidth="1"/>
    <col min="7165" max="7165" width="16.7109375" style="18" customWidth="1"/>
    <col min="7166" max="7166" width="11.42578125" style="18" customWidth="1"/>
    <col min="7167" max="7167" width="19" style="18" customWidth="1"/>
    <col min="7168" max="7168" width="23.42578125" style="18"/>
    <col min="7169" max="7169" width="14.7109375" style="18" customWidth="1"/>
    <col min="7170" max="7171" width="11.42578125" style="18" customWidth="1"/>
    <col min="7172" max="7172" width="10" style="18" customWidth="1"/>
    <col min="7173" max="7173" width="12.5703125" style="18" bestFit="1" customWidth="1"/>
    <col min="7174" max="7174" width="14.5703125" style="18" customWidth="1"/>
    <col min="7175" max="7175" width="18.42578125" style="18" customWidth="1"/>
    <col min="7176" max="7176" width="17.7109375" style="18" customWidth="1"/>
    <col min="7177" max="7177" width="14.42578125" style="18" customWidth="1"/>
    <col min="7178" max="7178" width="14.5703125" style="18" customWidth="1"/>
    <col min="7179" max="7179" width="16.140625" style="18" customWidth="1"/>
    <col min="7180" max="7180" width="12" style="18" customWidth="1"/>
    <col min="7181" max="7181" width="13.28515625" style="18" customWidth="1"/>
    <col min="7182" max="7182" width="12.85546875" style="18" customWidth="1"/>
    <col min="7183" max="7192" width="6.7109375" style="18" customWidth="1"/>
    <col min="7193" max="7417" width="11.42578125" style="18" customWidth="1"/>
    <col min="7418" max="7418" width="14.7109375" style="18" customWidth="1"/>
    <col min="7419" max="7420" width="11.42578125" style="18" customWidth="1"/>
    <col min="7421" max="7421" width="16.7109375" style="18" customWidth="1"/>
    <col min="7422" max="7422" width="11.42578125" style="18" customWidth="1"/>
    <col min="7423" max="7423" width="19" style="18" customWidth="1"/>
    <col min="7424" max="7424" width="23.42578125" style="18"/>
    <col min="7425" max="7425" width="14.7109375" style="18" customWidth="1"/>
    <col min="7426" max="7427" width="11.42578125" style="18" customWidth="1"/>
    <col min="7428" max="7428" width="10" style="18" customWidth="1"/>
    <col min="7429" max="7429" width="12.5703125" style="18" bestFit="1" customWidth="1"/>
    <col min="7430" max="7430" width="14.5703125" style="18" customWidth="1"/>
    <col min="7431" max="7431" width="18.42578125" style="18" customWidth="1"/>
    <col min="7432" max="7432" width="17.7109375" style="18" customWidth="1"/>
    <col min="7433" max="7433" width="14.42578125" style="18" customWidth="1"/>
    <col min="7434" max="7434" width="14.5703125" style="18" customWidth="1"/>
    <col min="7435" max="7435" width="16.140625" style="18" customWidth="1"/>
    <col min="7436" max="7436" width="12" style="18" customWidth="1"/>
    <col min="7437" max="7437" width="13.28515625" style="18" customWidth="1"/>
    <col min="7438" max="7438" width="12.85546875" style="18" customWidth="1"/>
    <col min="7439" max="7448" width="6.7109375" style="18" customWidth="1"/>
    <col min="7449" max="7673" width="11.42578125" style="18" customWidth="1"/>
    <col min="7674" max="7674" width="14.7109375" style="18" customWidth="1"/>
    <col min="7675" max="7676" width="11.42578125" style="18" customWidth="1"/>
    <col min="7677" max="7677" width="16.7109375" style="18" customWidth="1"/>
    <col min="7678" max="7678" width="11.42578125" style="18" customWidth="1"/>
    <col min="7679" max="7679" width="19" style="18" customWidth="1"/>
    <col min="7680" max="7680" width="23.42578125" style="18"/>
    <col min="7681" max="7681" width="14.7109375" style="18" customWidth="1"/>
    <col min="7682" max="7683" width="11.42578125" style="18" customWidth="1"/>
    <col min="7684" max="7684" width="10" style="18" customWidth="1"/>
    <col min="7685" max="7685" width="12.5703125" style="18" bestFit="1" customWidth="1"/>
    <col min="7686" max="7686" width="14.5703125" style="18" customWidth="1"/>
    <col min="7687" max="7687" width="18.42578125" style="18" customWidth="1"/>
    <col min="7688" max="7688" width="17.7109375" style="18" customWidth="1"/>
    <col min="7689" max="7689" width="14.42578125" style="18" customWidth="1"/>
    <col min="7690" max="7690" width="14.5703125" style="18" customWidth="1"/>
    <col min="7691" max="7691" width="16.140625" style="18" customWidth="1"/>
    <col min="7692" max="7692" width="12" style="18" customWidth="1"/>
    <col min="7693" max="7693" width="13.28515625" style="18" customWidth="1"/>
    <col min="7694" max="7694" width="12.85546875" style="18" customWidth="1"/>
    <col min="7695" max="7704" width="6.7109375" style="18" customWidth="1"/>
    <col min="7705" max="7929" width="11.42578125" style="18" customWidth="1"/>
    <col min="7930" max="7930" width="14.7109375" style="18" customWidth="1"/>
    <col min="7931" max="7932" width="11.42578125" style="18" customWidth="1"/>
    <col min="7933" max="7933" width="16.7109375" style="18" customWidth="1"/>
    <col min="7934" max="7934" width="11.42578125" style="18" customWidth="1"/>
    <col min="7935" max="7935" width="19" style="18" customWidth="1"/>
    <col min="7936" max="7936" width="23.42578125" style="18"/>
    <col min="7937" max="7937" width="14.7109375" style="18" customWidth="1"/>
    <col min="7938" max="7939" width="11.42578125" style="18" customWidth="1"/>
    <col min="7940" max="7940" width="10" style="18" customWidth="1"/>
    <col min="7941" max="7941" width="12.5703125" style="18" bestFit="1" customWidth="1"/>
    <col min="7942" max="7942" width="14.5703125" style="18" customWidth="1"/>
    <col min="7943" max="7943" width="18.42578125" style="18" customWidth="1"/>
    <col min="7944" max="7944" width="17.7109375" style="18" customWidth="1"/>
    <col min="7945" max="7945" width="14.42578125" style="18" customWidth="1"/>
    <col min="7946" max="7946" width="14.5703125" style="18" customWidth="1"/>
    <col min="7947" max="7947" width="16.140625" style="18" customWidth="1"/>
    <col min="7948" max="7948" width="12" style="18" customWidth="1"/>
    <col min="7949" max="7949" width="13.28515625" style="18" customWidth="1"/>
    <col min="7950" max="7950" width="12.85546875" style="18" customWidth="1"/>
    <col min="7951" max="7960" width="6.7109375" style="18" customWidth="1"/>
    <col min="7961" max="8185" width="11.42578125" style="18" customWidth="1"/>
    <col min="8186" max="8186" width="14.7109375" style="18" customWidth="1"/>
    <col min="8187" max="8188" width="11.42578125" style="18" customWidth="1"/>
    <col min="8189" max="8189" width="16.7109375" style="18" customWidth="1"/>
    <col min="8190" max="8190" width="11.42578125" style="18" customWidth="1"/>
    <col min="8191" max="8191" width="19" style="18" customWidth="1"/>
    <col min="8192" max="8192" width="23.42578125" style="18"/>
    <col min="8193" max="8193" width="14.7109375" style="18" customWidth="1"/>
    <col min="8194" max="8195" width="11.42578125" style="18" customWidth="1"/>
    <col min="8196" max="8196" width="10" style="18" customWidth="1"/>
    <col min="8197" max="8197" width="12.5703125" style="18" bestFit="1" customWidth="1"/>
    <col min="8198" max="8198" width="14.5703125" style="18" customWidth="1"/>
    <col min="8199" max="8199" width="18.42578125" style="18" customWidth="1"/>
    <col min="8200" max="8200" width="17.7109375" style="18" customWidth="1"/>
    <col min="8201" max="8201" width="14.42578125" style="18" customWidth="1"/>
    <col min="8202" max="8202" width="14.5703125" style="18" customWidth="1"/>
    <col min="8203" max="8203" width="16.140625" style="18" customWidth="1"/>
    <col min="8204" max="8204" width="12" style="18" customWidth="1"/>
    <col min="8205" max="8205" width="13.28515625" style="18" customWidth="1"/>
    <col min="8206" max="8206" width="12.85546875" style="18" customWidth="1"/>
    <col min="8207" max="8216" width="6.7109375" style="18" customWidth="1"/>
    <col min="8217" max="8441" width="11.42578125" style="18" customWidth="1"/>
    <col min="8442" max="8442" width="14.7109375" style="18" customWidth="1"/>
    <col min="8443" max="8444" width="11.42578125" style="18" customWidth="1"/>
    <col min="8445" max="8445" width="16.7109375" style="18" customWidth="1"/>
    <col min="8446" max="8446" width="11.42578125" style="18" customWidth="1"/>
    <col min="8447" max="8447" width="19" style="18" customWidth="1"/>
    <col min="8448" max="8448" width="23.42578125" style="18"/>
    <col min="8449" max="8449" width="14.7109375" style="18" customWidth="1"/>
    <col min="8450" max="8451" width="11.42578125" style="18" customWidth="1"/>
    <col min="8452" max="8452" width="10" style="18" customWidth="1"/>
    <col min="8453" max="8453" width="12.5703125" style="18" bestFit="1" customWidth="1"/>
    <col min="8454" max="8454" width="14.5703125" style="18" customWidth="1"/>
    <col min="8455" max="8455" width="18.42578125" style="18" customWidth="1"/>
    <col min="8456" max="8456" width="17.7109375" style="18" customWidth="1"/>
    <col min="8457" max="8457" width="14.42578125" style="18" customWidth="1"/>
    <col min="8458" max="8458" width="14.5703125" style="18" customWidth="1"/>
    <col min="8459" max="8459" width="16.140625" style="18" customWidth="1"/>
    <col min="8460" max="8460" width="12" style="18" customWidth="1"/>
    <col min="8461" max="8461" width="13.28515625" style="18" customWidth="1"/>
    <col min="8462" max="8462" width="12.85546875" style="18" customWidth="1"/>
    <col min="8463" max="8472" width="6.7109375" style="18" customWidth="1"/>
    <col min="8473" max="8697" width="11.42578125" style="18" customWidth="1"/>
    <col min="8698" max="8698" width="14.7109375" style="18" customWidth="1"/>
    <col min="8699" max="8700" width="11.42578125" style="18" customWidth="1"/>
    <col min="8701" max="8701" width="16.7109375" style="18" customWidth="1"/>
    <col min="8702" max="8702" width="11.42578125" style="18" customWidth="1"/>
    <col min="8703" max="8703" width="19" style="18" customWidth="1"/>
    <col min="8704" max="8704" width="23.42578125" style="18"/>
    <col min="8705" max="8705" width="14.7109375" style="18" customWidth="1"/>
    <col min="8706" max="8707" width="11.42578125" style="18" customWidth="1"/>
    <col min="8708" max="8708" width="10" style="18" customWidth="1"/>
    <col min="8709" max="8709" width="12.5703125" style="18" bestFit="1" customWidth="1"/>
    <col min="8710" max="8710" width="14.5703125" style="18" customWidth="1"/>
    <col min="8711" max="8711" width="18.42578125" style="18" customWidth="1"/>
    <col min="8712" max="8712" width="17.7109375" style="18" customWidth="1"/>
    <col min="8713" max="8713" width="14.42578125" style="18" customWidth="1"/>
    <col min="8714" max="8714" width="14.5703125" style="18" customWidth="1"/>
    <col min="8715" max="8715" width="16.140625" style="18" customWidth="1"/>
    <col min="8716" max="8716" width="12" style="18" customWidth="1"/>
    <col min="8717" max="8717" width="13.28515625" style="18" customWidth="1"/>
    <col min="8718" max="8718" width="12.85546875" style="18" customWidth="1"/>
    <col min="8719" max="8728" width="6.7109375" style="18" customWidth="1"/>
    <col min="8729" max="8953" width="11.42578125" style="18" customWidth="1"/>
    <col min="8954" max="8954" width="14.7109375" style="18" customWidth="1"/>
    <col min="8955" max="8956" width="11.42578125" style="18" customWidth="1"/>
    <col min="8957" max="8957" width="16.7109375" style="18" customWidth="1"/>
    <col min="8958" max="8958" width="11.42578125" style="18" customWidth="1"/>
    <col min="8959" max="8959" width="19" style="18" customWidth="1"/>
    <col min="8960" max="8960" width="23.42578125" style="18"/>
    <col min="8961" max="8961" width="14.7109375" style="18" customWidth="1"/>
    <col min="8962" max="8963" width="11.42578125" style="18" customWidth="1"/>
    <col min="8964" max="8964" width="10" style="18" customWidth="1"/>
    <col min="8965" max="8965" width="12.5703125" style="18" bestFit="1" customWidth="1"/>
    <col min="8966" max="8966" width="14.5703125" style="18" customWidth="1"/>
    <col min="8967" max="8967" width="18.42578125" style="18" customWidth="1"/>
    <col min="8968" max="8968" width="17.7109375" style="18" customWidth="1"/>
    <col min="8969" max="8969" width="14.42578125" style="18" customWidth="1"/>
    <col min="8970" max="8970" width="14.5703125" style="18" customWidth="1"/>
    <col min="8971" max="8971" width="16.140625" style="18" customWidth="1"/>
    <col min="8972" max="8972" width="12" style="18" customWidth="1"/>
    <col min="8973" max="8973" width="13.28515625" style="18" customWidth="1"/>
    <col min="8974" max="8974" width="12.85546875" style="18" customWidth="1"/>
    <col min="8975" max="8984" width="6.7109375" style="18" customWidth="1"/>
    <col min="8985" max="9209" width="11.42578125" style="18" customWidth="1"/>
    <col min="9210" max="9210" width="14.7109375" style="18" customWidth="1"/>
    <col min="9211" max="9212" width="11.42578125" style="18" customWidth="1"/>
    <col min="9213" max="9213" width="16.7109375" style="18" customWidth="1"/>
    <col min="9214" max="9214" width="11.42578125" style="18" customWidth="1"/>
    <col min="9215" max="9215" width="19" style="18" customWidth="1"/>
    <col min="9216" max="9216" width="23.42578125" style="18"/>
    <col min="9217" max="9217" width="14.7109375" style="18" customWidth="1"/>
    <col min="9218" max="9219" width="11.42578125" style="18" customWidth="1"/>
    <col min="9220" max="9220" width="10" style="18" customWidth="1"/>
    <col min="9221" max="9221" width="12.5703125" style="18" bestFit="1" customWidth="1"/>
    <col min="9222" max="9222" width="14.5703125" style="18" customWidth="1"/>
    <col min="9223" max="9223" width="18.42578125" style="18" customWidth="1"/>
    <col min="9224" max="9224" width="17.7109375" style="18" customWidth="1"/>
    <col min="9225" max="9225" width="14.42578125" style="18" customWidth="1"/>
    <col min="9226" max="9226" width="14.5703125" style="18" customWidth="1"/>
    <col min="9227" max="9227" width="16.140625" style="18" customWidth="1"/>
    <col min="9228" max="9228" width="12" style="18" customWidth="1"/>
    <col min="9229" max="9229" width="13.28515625" style="18" customWidth="1"/>
    <col min="9230" max="9230" width="12.85546875" style="18" customWidth="1"/>
    <col min="9231" max="9240" width="6.7109375" style="18" customWidth="1"/>
    <col min="9241" max="9465" width="11.42578125" style="18" customWidth="1"/>
    <col min="9466" max="9466" width="14.7109375" style="18" customWidth="1"/>
    <col min="9467" max="9468" width="11.42578125" style="18" customWidth="1"/>
    <col min="9469" max="9469" width="16.7109375" style="18" customWidth="1"/>
    <col min="9470" max="9470" width="11.42578125" style="18" customWidth="1"/>
    <col min="9471" max="9471" width="19" style="18" customWidth="1"/>
    <col min="9472" max="9472" width="23.42578125" style="18"/>
    <col min="9473" max="9473" width="14.7109375" style="18" customWidth="1"/>
    <col min="9474" max="9475" width="11.42578125" style="18" customWidth="1"/>
    <col min="9476" max="9476" width="10" style="18" customWidth="1"/>
    <col min="9477" max="9477" width="12.5703125" style="18" bestFit="1" customWidth="1"/>
    <col min="9478" max="9478" width="14.5703125" style="18" customWidth="1"/>
    <col min="9479" max="9479" width="18.42578125" style="18" customWidth="1"/>
    <col min="9480" max="9480" width="17.7109375" style="18" customWidth="1"/>
    <col min="9481" max="9481" width="14.42578125" style="18" customWidth="1"/>
    <col min="9482" max="9482" width="14.5703125" style="18" customWidth="1"/>
    <col min="9483" max="9483" width="16.140625" style="18" customWidth="1"/>
    <col min="9484" max="9484" width="12" style="18" customWidth="1"/>
    <col min="9485" max="9485" width="13.28515625" style="18" customWidth="1"/>
    <col min="9486" max="9486" width="12.85546875" style="18" customWidth="1"/>
    <col min="9487" max="9496" width="6.7109375" style="18" customWidth="1"/>
    <col min="9497" max="9721" width="11.42578125" style="18" customWidth="1"/>
    <col min="9722" max="9722" width="14.7109375" style="18" customWidth="1"/>
    <col min="9723" max="9724" width="11.42578125" style="18" customWidth="1"/>
    <col min="9725" max="9725" width="16.7109375" style="18" customWidth="1"/>
    <col min="9726" max="9726" width="11.42578125" style="18" customWidth="1"/>
    <col min="9727" max="9727" width="19" style="18" customWidth="1"/>
    <col min="9728" max="9728" width="23.42578125" style="18"/>
    <col min="9729" max="9729" width="14.7109375" style="18" customWidth="1"/>
    <col min="9730" max="9731" width="11.42578125" style="18" customWidth="1"/>
    <col min="9732" max="9732" width="10" style="18" customWidth="1"/>
    <col min="9733" max="9733" width="12.5703125" style="18" bestFit="1" customWidth="1"/>
    <col min="9734" max="9734" width="14.5703125" style="18" customWidth="1"/>
    <col min="9735" max="9735" width="18.42578125" style="18" customWidth="1"/>
    <col min="9736" max="9736" width="17.7109375" style="18" customWidth="1"/>
    <col min="9737" max="9737" width="14.42578125" style="18" customWidth="1"/>
    <col min="9738" max="9738" width="14.5703125" style="18" customWidth="1"/>
    <col min="9739" max="9739" width="16.140625" style="18" customWidth="1"/>
    <col min="9740" max="9740" width="12" style="18" customWidth="1"/>
    <col min="9741" max="9741" width="13.28515625" style="18" customWidth="1"/>
    <col min="9742" max="9742" width="12.85546875" style="18" customWidth="1"/>
    <col min="9743" max="9752" width="6.7109375" style="18" customWidth="1"/>
    <col min="9753" max="9977" width="11.42578125" style="18" customWidth="1"/>
    <col min="9978" max="9978" width="14.7109375" style="18" customWidth="1"/>
    <col min="9979" max="9980" width="11.42578125" style="18" customWidth="1"/>
    <col min="9981" max="9981" width="16.7109375" style="18" customWidth="1"/>
    <col min="9982" max="9982" width="11.42578125" style="18" customWidth="1"/>
    <col min="9983" max="9983" width="19" style="18" customWidth="1"/>
    <col min="9984" max="9984" width="23.42578125" style="18"/>
    <col min="9985" max="9985" width="14.7109375" style="18" customWidth="1"/>
    <col min="9986" max="9987" width="11.42578125" style="18" customWidth="1"/>
    <col min="9988" max="9988" width="10" style="18" customWidth="1"/>
    <col min="9989" max="9989" width="12.5703125" style="18" bestFit="1" customWidth="1"/>
    <col min="9990" max="9990" width="14.5703125" style="18" customWidth="1"/>
    <col min="9991" max="9991" width="18.42578125" style="18" customWidth="1"/>
    <col min="9992" max="9992" width="17.7109375" style="18" customWidth="1"/>
    <col min="9993" max="9993" width="14.42578125" style="18" customWidth="1"/>
    <col min="9994" max="9994" width="14.5703125" style="18" customWidth="1"/>
    <col min="9995" max="9995" width="16.140625" style="18" customWidth="1"/>
    <col min="9996" max="9996" width="12" style="18" customWidth="1"/>
    <col min="9997" max="9997" width="13.28515625" style="18" customWidth="1"/>
    <col min="9998" max="9998" width="12.85546875" style="18" customWidth="1"/>
    <col min="9999" max="10008" width="6.7109375" style="18" customWidth="1"/>
    <col min="10009" max="10233" width="11.42578125" style="18" customWidth="1"/>
    <col min="10234" max="10234" width="14.7109375" style="18" customWidth="1"/>
    <col min="10235" max="10236" width="11.42578125" style="18" customWidth="1"/>
    <col min="10237" max="10237" width="16.7109375" style="18" customWidth="1"/>
    <col min="10238" max="10238" width="11.42578125" style="18" customWidth="1"/>
    <col min="10239" max="10239" width="19" style="18" customWidth="1"/>
    <col min="10240" max="10240" width="23.42578125" style="18"/>
    <col min="10241" max="10241" width="14.7109375" style="18" customWidth="1"/>
    <col min="10242" max="10243" width="11.42578125" style="18" customWidth="1"/>
    <col min="10244" max="10244" width="10" style="18" customWidth="1"/>
    <col min="10245" max="10245" width="12.5703125" style="18" bestFit="1" customWidth="1"/>
    <col min="10246" max="10246" width="14.5703125" style="18" customWidth="1"/>
    <col min="10247" max="10247" width="18.42578125" style="18" customWidth="1"/>
    <col min="10248" max="10248" width="17.7109375" style="18" customWidth="1"/>
    <col min="10249" max="10249" width="14.42578125" style="18" customWidth="1"/>
    <col min="10250" max="10250" width="14.5703125" style="18" customWidth="1"/>
    <col min="10251" max="10251" width="16.140625" style="18" customWidth="1"/>
    <col min="10252" max="10252" width="12" style="18" customWidth="1"/>
    <col min="10253" max="10253" width="13.28515625" style="18" customWidth="1"/>
    <col min="10254" max="10254" width="12.85546875" style="18" customWidth="1"/>
    <col min="10255" max="10264" width="6.7109375" style="18" customWidth="1"/>
    <col min="10265" max="10489" width="11.42578125" style="18" customWidth="1"/>
    <col min="10490" max="10490" width="14.7109375" style="18" customWidth="1"/>
    <col min="10491" max="10492" width="11.42578125" style="18" customWidth="1"/>
    <col min="10493" max="10493" width="16.7109375" style="18" customWidth="1"/>
    <col min="10494" max="10494" width="11.42578125" style="18" customWidth="1"/>
    <col min="10495" max="10495" width="19" style="18" customWidth="1"/>
    <col min="10496" max="10496" width="23.42578125" style="18"/>
    <col min="10497" max="10497" width="14.7109375" style="18" customWidth="1"/>
    <col min="10498" max="10499" width="11.42578125" style="18" customWidth="1"/>
    <col min="10500" max="10500" width="10" style="18" customWidth="1"/>
    <col min="10501" max="10501" width="12.5703125" style="18" bestFit="1" customWidth="1"/>
    <col min="10502" max="10502" width="14.5703125" style="18" customWidth="1"/>
    <col min="10503" max="10503" width="18.42578125" style="18" customWidth="1"/>
    <col min="10504" max="10504" width="17.7109375" style="18" customWidth="1"/>
    <col min="10505" max="10505" width="14.42578125" style="18" customWidth="1"/>
    <col min="10506" max="10506" width="14.5703125" style="18" customWidth="1"/>
    <col min="10507" max="10507" width="16.140625" style="18" customWidth="1"/>
    <col min="10508" max="10508" width="12" style="18" customWidth="1"/>
    <col min="10509" max="10509" width="13.28515625" style="18" customWidth="1"/>
    <col min="10510" max="10510" width="12.85546875" style="18" customWidth="1"/>
    <col min="10511" max="10520" width="6.7109375" style="18" customWidth="1"/>
    <col min="10521" max="10745" width="11.42578125" style="18" customWidth="1"/>
    <col min="10746" max="10746" width="14.7109375" style="18" customWidth="1"/>
    <col min="10747" max="10748" width="11.42578125" style="18" customWidth="1"/>
    <col min="10749" max="10749" width="16.7109375" style="18" customWidth="1"/>
    <col min="10750" max="10750" width="11.42578125" style="18" customWidth="1"/>
    <col min="10751" max="10751" width="19" style="18" customWidth="1"/>
    <col min="10752" max="10752" width="23.42578125" style="18"/>
    <col min="10753" max="10753" width="14.7109375" style="18" customWidth="1"/>
    <col min="10754" max="10755" width="11.42578125" style="18" customWidth="1"/>
    <col min="10756" max="10756" width="10" style="18" customWidth="1"/>
    <col min="10757" max="10757" width="12.5703125" style="18" bestFit="1" customWidth="1"/>
    <col min="10758" max="10758" width="14.5703125" style="18" customWidth="1"/>
    <col min="10759" max="10759" width="18.42578125" style="18" customWidth="1"/>
    <col min="10760" max="10760" width="17.7109375" style="18" customWidth="1"/>
    <col min="10761" max="10761" width="14.42578125" style="18" customWidth="1"/>
    <col min="10762" max="10762" width="14.5703125" style="18" customWidth="1"/>
    <col min="10763" max="10763" width="16.140625" style="18" customWidth="1"/>
    <col min="10764" max="10764" width="12" style="18" customWidth="1"/>
    <col min="10765" max="10765" width="13.28515625" style="18" customWidth="1"/>
    <col min="10766" max="10766" width="12.85546875" style="18" customWidth="1"/>
    <col min="10767" max="10776" width="6.7109375" style="18" customWidth="1"/>
    <col min="10777" max="11001" width="11.42578125" style="18" customWidth="1"/>
    <col min="11002" max="11002" width="14.7109375" style="18" customWidth="1"/>
    <col min="11003" max="11004" width="11.42578125" style="18" customWidth="1"/>
    <col min="11005" max="11005" width="16.7109375" style="18" customWidth="1"/>
    <col min="11006" max="11006" width="11.42578125" style="18" customWidth="1"/>
    <col min="11007" max="11007" width="19" style="18" customWidth="1"/>
    <col min="11008" max="11008" width="23.42578125" style="18"/>
    <col min="11009" max="11009" width="14.7109375" style="18" customWidth="1"/>
    <col min="11010" max="11011" width="11.42578125" style="18" customWidth="1"/>
    <col min="11012" max="11012" width="10" style="18" customWidth="1"/>
    <col min="11013" max="11013" width="12.5703125" style="18" bestFit="1" customWidth="1"/>
    <col min="11014" max="11014" width="14.5703125" style="18" customWidth="1"/>
    <col min="11015" max="11015" width="18.42578125" style="18" customWidth="1"/>
    <col min="11016" max="11016" width="17.7109375" style="18" customWidth="1"/>
    <col min="11017" max="11017" width="14.42578125" style="18" customWidth="1"/>
    <col min="11018" max="11018" width="14.5703125" style="18" customWidth="1"/>
    <col min="11019" max="11019" width="16.140625" style="18" customWidth="1"/>
    <col min="11020" max="11020" width="12" style="18" customWidth="1"/>
    <col min="11021" max="11021" width="13.28515625" style="18" customWidth="1"/>
    <col min="11022" max="11022" width="12.85546875" style="18" customWidth="1"/>
    <col min="11023" max="11032" width="6.7109375" style="18" customWidth="1"/>
    <col min="11033" max="11257" width="11.42578125" style="18" customWidth="1"/>
    <col min="11258" max="11258" width="14.7109375" style="18" customWidth="1"/>
    <col min="11259" max="11260" width="11.42578125" style="18" customWidth="1"/>
    <col min="11261" max="11261" width="16.7109375" style="18" customWidth="1"/>
    <col min="11262" max="11262" width="11.42578125" style="18" customWidth="1"/>
    <col min="11263" max="11263" width="19" style="18" customWidth="1"/>
    <col min="11264" max="11264" width="23.42578125" style="18"/>
    <col min="11265" max="11265" width="14.7109375" style="18" customWidth="1"/>
    <col min="11266" max="11267" width="11.42578125" style="18" customWidth="1"/>
    <col min="11268" max="11268" width="10" style="18" customWidth="1"/>
    <col min="11269" max="11269" width="12.5703125" style="18" bestFit="1" customWidth="1"/>
    <col min="11270" max="11270" width="14.5703125" style="18" customWidth="1"/>
    <col min="11271" max="11271" width="18.42578125" style="18" customWidth="1"/>
    <col min="11272" max="11272" width="17.7109375" style="18" customWidth="1"/>
    <col min="11273" max="11273" width="14.42578125" style="18" customWidth="1"/>
    <col min="11274" max="11274" width="14.5703125" style="18" customWidth="1"/>
    <col min="11275" max="11275" width="16.140625" style="18" customWidth="1"/>
    <col min="11276" max="11276" width="12" style="18" customWidth="1"/>
    <col min="11277" max="11277" width="13.28515625" style="18" customWidth="1"/>
    <col min="11278" max="11278" width="12.85546875" style="18" customWidth="1"/>
    <col min="11279" max="11288" width="6.7109375" style="18" customWidth="1"/>
    <col min="11289" max="11513" width="11.42578125" style="18" customWidth="1"/>
    <col min="11514" max="11514" width="14.7109375" style="18" customWidth="1"/>
    <col min="11515" max="11516" width="11.42578125" style="18" customWidth="1"/>
    <col min="11517" max="11517" width="16.7109375" style="18" customWidth="1"/>
    <col min="11518" max="11518" width="11.42578125" style="18" customWidth="1"/>
    <col min="11519" max="11519" width="19" style="18" customWidth="1"/>
    <col min="11520" max="11520" width="23.42578125" style="18"/>
    <col min="11521" max="11521" width="14.7109375" style="18" customWidth="1"/>
    <col min="11522" max="11523" width="11.42578125" style="18" customWidth="1"/>
    <col min="11524" max="11524" width="10" style="18" customWidth="1"/>
    <col min="11525" max="11525" width="12.5703125" style="18" bestFit="1" customWidth="1"/>
    <col min="11526" max="11526" width="14.5703125" style="18" customWidth="1"/>
    <col min="11527" max="11527" width="18.42578125" style="18" customWidth="1"/>
    <col min="11528" max="11528" width="17.7109375" style="18" customWidth="1"/>
    <col min="11529" max="11529" width="14.42578125" style="18" customWidth="1"/>
    <col min="11530" max="11530" width="14.5703125" style="18" customWidth="1"/>
    <col min="11531" max="11531" width="16.140625" style="18" customWidth="1"/>
    <col min="11532" max="11532" width="12" style="18" customWidth="1"/>
    <col min="11533" max="11533" width="13.28515625" style="18" customWidth="1"/>
    <col min="11534" max="11534" width="12.85546875" style="18" customWidth="1"/>
    <col min="11535" max="11544" width="6.7109375" style="18" customWidth="1"/>
    <col min="11545" max="11769" width="11.42578125" style="18" customWidth="1"/>
    <col min="11770" max="11770" width="14.7109375" style="18" customWidth="1"/>
    <col min="11771" max="11772" width="11.42578125" style="18" customWidth="1"/>
    <col min="11773" max="11773" width="16.7109375" style="18" customWidth="1"/>
    <col min="11774" max="11774" width="11.42578125" style="18" customWidth="1"/>
    <col min="11775" max="11775" width="19" style="18" customWidth="1"/>
    <col min="11776" max="11776" width="23.42578125" style="18"/>
    <col min="11777" max="11777" width="14.7109375" style="18" customWidth="1"/>
    <col min="11778" max="11779" width="11.42578125" style="18" customWidth="1"/>
    <col min="11780" max="11780" width="10" style="18" customWidth="1"/>
    <col min="11781" max="11781" width="12.5703125" style="18" bestFit="1" customWidth="1"/>
    <col min="11782" max="11782" width="14.5703125" style="18" customWidth="1"/>
    <col min="11783" max="11783" width="18.42578125" style="18" customWidth="1"/>
    <col min="11784" max="11784" width="17.7109375" style="18" customWidth="1"/>
    <col min="11785" max="11785" width="14.42578125" style="18" customWidth="1"/>
    <col min="11786" max="11786" width="14.5703125" style="18" customWidth="1"/>
    <col min="11787" max="11787" width="16.140625" style="18" customWidth="1"/>
    <col min="11788" max="11788" width="12" style="18" customWidth="1"/>
    <col min="11789" max="11789" width="13.28515625" style="18" customWidth="1"/>
    <col min="11790" max="11790" width="12.85546875" style="18" customWidth="1"/>
    <col min="11791" max="11800" width="6.7109375" style="18" customWidth="1"/>
    <col min="11801" max="12025" width="11.42578125" style="18" customWidth="1"/>
    <col min="12026" max="12026" width="14.7109375" style="18" customWidth="1"/>
    <col min="12027" max="12028" width="11.42578125" style="18" customWidth="1"/>
    <col min="12029" max="12029" width="16.7109375" style="18" customWidth="1"/>
    <col min="12030" max="12030" width="11.42578125" style="18" customWidth="1"/>
    <col min="12031" max="12031" width="19" style="18" customWidth="1"/>
    <col min="12032" max="12032" width="23.42578125" style="18"/>
    <col min="12033" max="12033" width="14.7109375" style="18" customWidth="1"/>
    <col min="12034" max="12035" width="11.42578125" style="18" customWidth="1"/>
    <col min="12036" max="12036" width="10" style="18" customWidth="1"/>
    <col min="12037" max="12037" width="12.5703125" style="18" bestFit="1" customWidth="1"/>
    <col min="12038" max="12038" width="14.5703125" style="18" customWidth="1"/>
    <col min="12039" max="12039" width="18.42578125" style="18" customWidth="1"/>
    <col min="12040" max="12040" width="17.7109375" style="18" customWidth="1"/>
    <col min="12041" max="12041" width="14.42578125" style="18" customWidth="1"/>
    <col min="12042" max="12042" width="14.5703125" style="18" customWidth="1"/>
    <col min="12043" max="12043" width="16.140625" style="18" customWidth="1"/>
    <col min="12044" max="12044" width="12" style="18" customWidth="1"/>
    <col min="12045" max="12045" width="13.28515625" style="18" customWidth="1"/>
    <col min="12046" max="12046" width="12.85546875" style="18" customWidth="1"/>
    <col min="12047" max="12056" width="6.7109375" style="18" customWidth="1"/>
    <col min="12057" max="12281" width="11.42578125" style="18" customWidth="1"/>
    <col min="12282" max="12282" width="14.7109375" style="18" customWidth="1"/>
    <col min="12283" max="12284" width="11.42578125" style="18" customWidth="1"/>
    <col min="12285" max="12285" width="16.7109375" style="18" customWidth="1"/>
    <col min="12286" max="12286" width="11.42578125" style="18" customWidth="1"/>
    <col min="12287" max="12287" width="19" style="18" customWidth="1"/>
    <col min="12288" max="12288" width="23.42578125" style="18"/>
    <col min="12289" max="12289" width="14.7109375" style="18" customWidth="1"/>
    <col min="12290" max="12291" width="11.42578125" style="18" customWidth="1"/>
    <col min="12292" max="12292" width="10" style="18" customWidth="1"/>
    <col min="12293" max="12293" width="12.5703125" style="18" bestFit="1" customWidth="1"/>
    <col min="12294" max="12294" width="14.5703125" style="18" customWidth="1"/>
    <col min="12295" max="12295" width="18.42578125" style="18" customWidth="1"/>
    <col min="12296" max="12296" width="17.7109375" style="18" customWidth="1"/>
    <col min="12297" max="12297" width="14.42578125" style="18" customWidth="1"/>
    <col min="12298" max="12298" width="14.5703125" style="18" customWidth="1"/>
    <col min="12299" max="12299" width="16.140625" style="18" customWidth="1"/>
    <col min="12300" max="12300" width="12" style="18" customWidth="1"/>
    <col min="12301" max="12301" width="13.28515625" style="18" customWidth="1"/>
    <col min="12302" max="12302" width="12.85546875" style="18" customWidth="1"/>
    <col min="12303" max="12312" width="6.7109375" style="18" customWidth="1"/>
    <col min="12313" max="12537" width="11.42578125" style="18" customWidth="1"/>
    <col min="12538" max="12538" width="14.7109375" style="18" customWidth="1"/>
    <col min="12539" max="12540" width="11.42578125" style="18" customWidth="1"/>
    <col min="12541" max="12541" width="16.7109375" style="18" customWidth="1"/>
    <col min="12542" max="12542" width="11.42578125" style="18" customWidth="1"/>
    <col min="12543" max="12543" width="19" style="18" customWidth="1"/>
    <col min="12544" max="12544" width="23.42578125" style="18"/>
    <col min="12545" max="12545" width="14.7109375" style="18" customWidth="1"/>
    <col min="12546" max="12547" width="11.42578125" style="18" customWidth="1"/>
    <col min="12548" max="12548" width="10" style="18" customWidth="1"/>
    <col min="12549" max="12549" width="12.5703125" style="18" bestFit="1" customWidth="1"/>
    <col min="12550" max="12550" width="14.5703125" style="18" customWidth="1"/>
    <col min="12551" max="12551" width="18.42578125" style="18" customWidth="1"/>
    <col min="12552" max="12552" width="17.7109375" style="18" customWidth="1"/>
    <col min="12553" max="12553" width="14.42578125" style="18" customWidth="1"/>
    <col min="12554" max="12554" width="14.5703125" style="18" customWidth="1"/>
    <col min="12555" max="12555" width="16.140625" style="18" customWidth="1"/>
    <col min="12556" max="12556" width="12" style="18" customWidth="1"/>
    <col min="12557" max="12557" width="13.28515625" style="18" customWidth="1"/>
    <col min="12558" max="12558" width="12.85546875" style="18" customWidth="1"/>
    <col min="12559" max="12568" width="6.7109375" style="18" customWidth="1"/>
    <col min="12569" max="12793" width="11.42578125" style="18" customWidth="1"/>
    <col min="12794" max="12794" width="14.7109375" style="18" customWidth="1"/>
    <col min="12795" max="12796" width="11.42578125" style="18" customWidth="1"/>
    <col min="12797" max="12797" width="16.7109375" style="18" customWidth="1"/>
    <col min="12798" max="12798" width="11.42578125" style="18" customWidth="1"/>
    <col min="12799" max="12799" width="19" style="18" customWidth="1"/>
    <col min="12800" max="12800" width="23.42578125" style="18"/>
    <col min="12801" max="12801" width="14.7109375" style="18" customWidth="1"/>
    <col min="12802" max="12803" width="11.42578125" style="18" customWidth="1"/>
    <col min="12804" max="12804" width="10" style="18" customWidth="1"/>
    <col min="12805" max="12805" width="12.5703125" style="18" bestFit="1" customWidth="1"/>
    <col min="12806" max="12806" width="14.5703125" style="18" customWidth="1"/>
    <col min="12807" max="12807" width="18.42578125" style="18" customWidth="1"/>
    <col min="12808" max="12808" width="17.7109375" style="18" customWidth="1"/>
    <col min="12809" max="12809" width="14.42578125" style="18" customWidth="1"/>
    <col min="12810" max="12810" width="14.5703125" style="18" customWidth="1"/>
    <col min="12811" max="12811" width="16.140625" style="18" customWidth="1"/>
    <col min="12812" max="12812" width="12" style="18" customWidth="1"/>
    <col min="12813" max="12813" width="13.28515625" style="18" customWidth="1"/>
    <col min="12814" max="12814" width="12.85546875" style="18" customWidth="1"/>
    <col min="12815" max="12824" width="6.7109375" style="18" customWidth="1"/>
    <col min="12825" max="13049" width="11.42578125" style="18" customWidth="1"/>
    <col min="13050" max="13050" width="14.7109375" style="18" customWidth="1"/>
    <col min="13051" max="13052" width="11.42578125" style="18" customWidth="1"/>
    <col min="13053" max="13053" width="16.7109375" style="18" customWidth="1"/>
    <col min="13054" max="13054" width="11.42578125" style="18" customWidth="1"/>
    <col min="13055" max="13055" width="19" style="18" customWidth="1"/>
    <col min="13056" max="13056" width="23.42578125" style="18"/>
    <col min="13057" max="13057" width="14.7109375" style="18" customWidth="1"/>
    <col min="13058" max="13059" width="11.42578125" style="18" customWidth="1"/>
    <col min="13060" max="13060" width="10" style="18" customWidth="1"/>
    <col min="13061" max="13061" width="12.5703125" style="18" bestFit="1" customWidth="1"/>
    <col min="13062" max="13062" width="14.5703125" style="18" customWidth="1"/>
    <col min="13063" max="13063" width="18.42578125" style="18" customWidth="1"/>
    <col min="13064" max="13064" width="17.7109375" style="18" customWidth="1"/>
    <col min="13065" max="13065" width="14.42578125" style="18" customWidth="1"/>
    <col min="13066" max="13066" width="14.5703125" style="18" customWidth="1"/>
    <col min="13067" max="13067" width="16.140625" style="18" customWidth="1"/>
    <col min="13068" max="13068" width="12" style="18" customWidth="1"/>
    <col min="13069" max="13069" width="13.28515625" style="18" customWidth="1"/>
    <col min="13070" max="13070" width="12.85546875" style="18" customWidth="1"/>
    <col min="13071" max="13080" width="6.7109375" style="18" customWidth="1"/>
    <col min="13081" max="13305" width="11.42578125" style="18" customWidth="1"/>
    <col min="13306" max="13306" width="14.7109375" style="18" customWidth="1"/>
    <col min="13307" max="13308" width="11.42578125" style="18" customWidth="1"/>
    <col min="13309" max="13309" width="16.7109375" style="18" customWidth="1"/>
    <col min="13310" max="13310" width="11.42578125" style="18" customWidth="1"/>
    <col min="13311" max="13311" width="19" style="18" customWidth="1"/>
    <col min="13312" max="13312" width="23.42578125" style="18"/>
    <col min="13313" max="13313" width="14.7109375" style="18" customWidth="1"/>
    <col min="13314" max="13315" width="11.42578125" style="18" customWidth="1"/>
    <col min="13316" max="13316" width="10" style="18" customWidth="1"/>
    <col min="13317" max="13317" width="12.5703125" style="18" bestFit="1" customWidth="1"/>
    <col min="13318" max="13318" width="14.5703125" style="18" customWidth="1"/>
    <col min="13319" max="13319" width="18.42578125" style="18" customWidth="1"/>
    <col min="13320" max="13320" width="17.7109375" style="18" customWidth="1"/>
    <col min="13321" max="13321" width="14.42578125" style="18" customWidth="1"/>
    <col min="13322" max="13322" width="14.5703125" style="18" customWidth="1"/>
    <col min="13323" max="13323" width="16.140625" style="18" customWidth="1"/>
    <col min="13324" max="13324" width="12" style="18" customWidth="1"/>
    <col min="13325" max="13325" width="13.28515625" style="18" customWidth="1"/>
    <col min="13326" max="13326" width="12.85546875" style="18" customWidth="1"/>
    <col min="13327" max="13336" width="6.7109375" style="18" customWidth="1"/>
    <col min="13337" max="13561" width="11.42578125" style="18" customWidth="1"/>
    <col min="13562" max="13562" width="14.7109375" style="18" customWidth="1"/>
    <col min="13563" max="13564" width="11.42578125" style="18" customWidth="1"/>
    <col min="13565" max="13565" width="16.7109375" style="18" customWidth="1"/>
    <col min="13566" max="13566" width="11.42578125" style="18" customWidth="1"/>
    <col min="13567" max="13567" width="19" style="18" customWidth="1"/>
    <col min="13568" max="13568" width="23.42578125" style="18"/>
    <col min="13569" max="13569" width="14.7109375" style="18" customWidth="1"/>
    <col min="13570" max="13571" width="11.42578125" style="18" customWidth="1"/>
    <col min="13572" max="13572" width="10" style="18" customWidth="1"/>
    <col min="13573" max="13573" width="12.5703125" style="18" bestFit="1" customWidth="1"/>
    <col min="13574" max="13574" width="14.5703125" style="18" customWidth="1"/>
    <col min="13575" max="13575" width="18.42578125" style="18" customWidth="1"/>
    <col min="13576" max="13576" width="17.7109375" style="18" customWidth="1"/>
    <col min="13577" max="13577" width="14.42578125" style="18" customWidth="1"/>
    <col min="13578" max="13578" width="14.5703125" style="18" customWidth="1"/>
    <col min="13579" max="13579" width="16.140625" style="18" customWidth="1"/>
    <col min="13580" max="13580" width="12" style="18" customWidth="1"/>
    <col min="13581" max="13581" width="13.28515625" style="18" customWidth="1"/>
    <col min="13582" max="13582" width="12.85546875" style="18" customWidth="1"/>
    <col min="13583" max="13592" width="6.7109375" style="18" customWidth="1"/>
    <col min="13593" max="13817" width="11.42578125" style="18" customWidth="1"/>
    <col min="13818" max="13818" width="14.7109375" style="18" customWidth="1"/>
    <col min="13819" max="13820" width="11.42578125" style="18" customWidth="1"/>
    <col min="13821" max="13821" width="16.7109375" style="18" customWidth="1"/>
    <col min="13822" max="13822" width="11.42578125" style="18" customWidth="1"/>
    <col min="13823" max="13823" width="19" style="18" customWidth="1"/>
    <col min="13824" max="13824" width="23.42578125" style="18"/>
    <col min="13825" max="13825" width="14.7109375" style="18" customWidth="1"/>
    <col min="13826" max="13827" width="11.42578125" style="18" customWidth="1"/>
    <col min="13828" max="13828" width="10" style="18" customWidth="1"/>
    <col min="13829" max="13829" width="12.5703125" style="18" bestFit="1" customWidth="1"/>
    <col min="13830" max="13830" width="14.5703125" style="18" customWidth="1"/>
    <col min="13831" max="13831" width="18.42578125" style="18" customWidth="1"/>
    <col min="13832" max="13832" width="17.7109375" style="18" customWidth="1"/>
    <col min="13833" max="13833" width="14.42578125" style="18" customWidth="1"/>
    <col min="13834" max="13834" width="14.5703125" style="18" customWidth="1"/>
    <col min="13835" max="13835" width="16.140625" style="18" customWidth="1"/>
    <col min="13836" max="13836" width="12" style="18" customWidth="1"/>
    <col min="13837" max="13837" width="13.28515625" style="18" customWidth="1"/>
    <col min="13838" max="13838" width="12.85546875" style="18" customWidth="1"/>
    <col min="13839" max="13848" width="6.7109375" style="18" customWidth="1"/>
    <col min="13849" max="14073" width="11.42578125" style="18" customWidth="1"/>
    <col min="14074" max="14074" width="14.7109375" style="18" customWidth="1"/>
    <col min="14075" max="14076" width="11.42578125" style="18" customWidth="1"/>
    <col min="14077" max="14077" width="16.7109375" style="18" customWidth="1"/>
    <col min="14078" max="14078" width="11.42578125" style="18" customWidth="1"/>
    <col min="14079" max="14079" width="19" style="18" customWidth="1"/>
    <col min="14080" max="14080" width="23.42578125" style="18"/>
    <col min="14081" max="14081" width="14.7109375" style="18" customWidth="1"/>
    <col min="14082" max="14083" width="11.42578125" style="18" customWidth="1"/>
    <col min="14084" max="14084" width="10" style="18" customWidth="1"/>
    <col min="14085" max="14085" width="12.5703125" style="18" bestFit="1" customWidth="1"/>
    <col min="14086" max="14086" width="14.5703125" style="18" customWidth="1"/>
    <col min="14087" max="14087" width="18.42578125" style="18" customWidth="1"/>
    <col min="14088" max="14088" width="17.7109375" style="18" customWidth="1"/>
    <col min="14089" max="14089" width="14.42578125" style="18" customWidth="1"/>
    <col min="14090" max="14090" width="14.5703125" style="18" customWidth="1"/>
    <col min="14091" max="14091" width="16.140625" style="18" customWidth="1"/>
    <col min="14092" max="14092" width="12" style="18" customWidth="1"/>
    <col min="14093" max="14093" width="13.28515625" style="18" customWidth="1"/>
    <col min="14094" max="14094" width="12.85546875" style="18" customWidth="1"/>
    <col min="14095" max="14104" width="6.7109375" style="18" customWidth="1"/>
    <col min="14105" max="14329" width="11.42578125" style="18" customWidth="1"/>
    <col min="14330" max="14330" width="14.7109375" style="18" customWidth="1"/>
    <col min="14331" max="14332" width="11.42578125" style="18" customWidth="1"/>
    <col min="14333" max="14333" width="16.7109375" style="18" customWidth="1"/>
    <col min="14334" max="14334" width="11.42578125" style="18" customWidth="1"/>
    <col min="14335" max="14335" width="19" style="18" customWidth="1"/>
    <col min="14336" max="14336" width="23.42578125" style="18"/>
    <col min="14337" max="14337" width="14.7109375" style="18" customWidth="1"/>
    <col min="14338" max="14339" width="11.42578125" style="18" customWidth="1"/>
    <col min="14340" max="14340" width="10" style="18" customWidth="1"/>
    <col min="14341" max="14341" width="12.5703125" style="18" bestFit="1" customWidth="1"/>
    <col min="14342" max="14342" width="14.5703125" style="18" customWidth="1"/>
    <col min="14343" max="14343" width="18.42578125" style="18" customWidth="1"/>
    <col min="14344" max="14344" width="17.7109375" style="18" customWidth="1"/>
    <col min="14345" max="14345" width="14.42578125" style="18" customWidth="1"/>
    <col min="14346" max="14346" width="14.5703125" style="18" customWidth="1"/>
    <col min="14347" max="14347" width="16.140625" style="18" customWidth="1"/>
    <col min="14348" max="14348" width="12" style="18" customWidth="1"/>
    <col min="14349" max="14349" width="13.28515625" style="18" customWidth="1"/>
    <col min="14350" max="14350" width="12.85546875" style="18" customWidth="1"/>
    <col min="14351" max="14360" width="6.7109375" style="18" customWidth="1"/>
    <col min="14361" max="14585" width="11.42578125" style="18" customWidth="1"/>
    <col min="14586" max="14586" width="14.7109375" style="18" customWidth="1"/>
    <col min="14587" max="14588" width="11.42578125" style="18" customWidth="1"/>
    <col min="14589" max="14589" width="16.7109375" style="18" customWidth="1"/>
    <col min="14590" max="14590" width="11.42578125" style="18" customWidth="1"/>
    <col min="14591" max="14591" width="19" style="18" customWidth="1"/>
    <col min="14592" max="14592" width="23.42578125" style="18"/>
    <col min="14593" max="14593" width="14.7109375" style="18" customWidth="1"/>
    <col min="14594" max="14595" width="11.42578125" style="18" customWidth="1"/>
    <col min="14596" max="14596" width="10" style="18" customWidth="1"/>
    <col min="14597" max="14597" width="12.5703125" style="18" bestFit="1" customWidth="1"/>
    <col min="14598" max="14598" width="14.5703125" style="18" customWidth="1"/>
    <col min="14599" max="14599" width="18.42578125" style="18" customWidth="1"/>
    <col min="14600" max="14600" width="17.7109375" style="18" customWidth="1"/>
    <col min="14601" max="14601" width="14.42578125" style="18" customWidth="1"/>
    <col min="14602" max="14602" width="14.5703125" style="18" customWidth="1"/>
    <col min="14603" max="14603" width="16.140625" style="18" customWidth="1"/>
    <col min="14604" max="14604" width="12" style="18" customWidth="1"/>
    <col min="14605" max="14605" width="13.28515625" style="18" customWidth="1"/>
    <col min="14606" max="14606" width="12.85546875" style="18" customWidth="1"/>
    <col min="14607" max="14616" width="6.7109375" style="18" customWidth="1"/>
    <col min="14617" max="14841" width="11.42578125" style="18" customWidth="1"/>
    <col min="14842" max="14842" width="14.7109375" style="18" customWidth="1"/>
    <col min="14843" max="14844" width="11.42578125" style="18" customWidth="1"/>
    <col min="14845" max="14845" width="16.7109375" style="18" customWidth="1"/>
    <col min="14846" max="14846" width="11.42578125" style="18" customWidth="1"/>
    <col min="14847" max="14847" width="19" style="18" customWidth="1"/>
    <col min="14848" max="14848" width="23.42578125" style="18"/>
    <col min="14849" max="14849" width="14.7109375" style="18" customWidth="1"/>
    <col min="14850" max="14851" width="11.42578125" style="18" customWidth="1"/>
    <col min="14852" max="14852" width="10" style="18" customWidth="1"/>
    <col min="14853" max="14853" width="12.5703125" style="18" bestFit="1" customWidth="1"/>
    <col min="14854" max="14854" width="14.5703125" style="18" customWidth="1"/>
    <col min="14855" max="14855" width="18.42578125" style="18" customWidth="1"/>
    <col min="14856" max="14856" width="17.7109375" style="18" customWidth="1"/>
    <col min="14857" max="14857" width="14.42578125" style="18" customWidth="1"/>
    <col min="14858" max="14858" width="14.5703125" style="18" customWidth="1"/>
    <col min="14859" max="14859" width="16.140625" style="18" customWidth="1"/>
    <col min="14860" max="14860" width="12" style="18" customWidth="1"/>
    <col min="14861" max="14861" width="13.28515625" style="18" customWidth="1"/>
    <col min="14862" max="14862" width="12.85546875" style="18" customWidth="1"/>
    <col min="14863" max="14872" width="6.7109375" style="18" customWidth="1"/>
    <col min="14873" max="15097" width="11.42578125" style="18" customWidth="1"/>
    <col min="15098" max="15098" width="14.7109375" style="18" customWidth="1"/>
    <col min="15099" max="15100" width="11.42578125" style="18" customWidth="1"/>
    <col min="15101" max="15101" width="16.7109375" style="18" customWidth="1"/>
    <col min="15102" max="15102" width="11.42578125" style="18" customWidth="1"/>
    <col min="15103" max="15103" width="19" style="18" customWidth="1"/>
    <col min="15104" max="15104" width="23.42578125" style="18"/>
    <col min="15105" max="15105" width="14.7109375" style="18" customWidth="1"/>
    <col min="15106" max="15107" width="11.42578125" style="18" customWidth="1"/>
    <col min="15108" max="15108" width="10" style="18" customWidth="1"/>
    <col min="15109" max="15109" width="12.5703125" style="18" bestFit="1" customWidth="1"/>
    <col min="15110" max="15110" width="14.5703125" style="18" customWidth="1"/>
    <col min="15111" max="15111" width="18.42578125" style="18" customWidth="1"/>
    <col min="15112" max="15112" width="17.7109375" style="18" customWidth="1"/>
    <col min="15113" max="15113" width="14.42578125" style="18" customWidth="1"/>
    <col min="15114" max="15114" width="14.5703125" style="18" customWidth="1"/>
    <col min="15115" max="15115" width="16.140625" style="18" customWidth="1"/>
    <col min="15116" max="15116" width="12" style="18" customWidth="1"/>
    <col min="15117" max="15117" width="13.28515625" style="18" customWidth="1"/>
    <col min="15118" max="15118" width="12.85546875" style="18" customWidth="1"/>
    <col min="15119" max="15128" width="6.7109375" style="18" customWidth="1"/>
    <col min="15129" max="15353" width="11.42578125" style="18" customWidth="1"/>
    <col min="15354" max="15354" width="14.7109375" style="18" customWidth="1"/>
    <col min="15355" max="15356" width="11.42578125" style="18" customWidth="1"/>
    <col min="15357" max="15357" width="16.7109375" style="18" customWidth="1"/>
    <col min="15358" max="15358" width="11.42578125" style="18" customWidth="1"/>
    <col min="15359" max="15359" width="19" style="18" customWidth="1"/>
    <col min="15360" max="15360" width="23.42578125" style="18"/>
    <col min="15361" max="15361" width="14.7109375" style="18" customWidth="1"/>
    <col min="15362" max="15363" width="11.42578125" style="18" customWidth="1"/>
    <col min="15364" max="15364" width="10" style="18" customWidth="1"/>
    <col min="15365" max="15365" width="12.5703125" style="18" bestFit="1" customWidth="1"/>
    <col min="15366" max="15366" width="14.5703125" style="18" customWidth="1"/>
    <col min="15367" max="15367" width="18.42578125" style="18" customWidth="1"/>
    <col min="15368" max="15368" width="17.7109375" style="18" customWidth="1"/>
    <col min="15369" max="15369" width="14.42578125" style="18" customWidth="1"/>
    <col min="15370" max="15370" width="14.5703125" style="18" customWidth="1"/>
    <col min="15371" max="15371" width="16.140625" style="18" customWidth="1"/>
    <col min="15372" max="15372" width="12" style="18" customWidth="1"/>
    <col min="15373" max="15373" width="13.28515625" style="18" customWidth="1"/>
    <col min="15374" max="15374" width="12.85546875" style="18" customWidth="1"/>
    <col min="15375" max="15384" width="6.7109375" style="18" customWidth="1"/>
    <col min="15385" max="15609" width="11.42578125" style="18" customWidth="1"/>
    <col min="15610" max="15610" width="14.7109375" style="18" customWidth="1"/>
    <col min="15611" max="15612" width="11.42578125" style="18" customWidth="1"/>
    <col min="15613" max="15613" width="16.7109375" style="18" customWidth="1"/>
    <col min="15614" max="15614" width="11.42578125" style="18" customWidth="1"/>
    <col min="15615" max="15615" width="19" style="18" customWidth="1"/>
    <col min="15616" max="15616" width="23.42578125" style="18"/>
    <col min="15617" max="15617" width="14.7109375" style="18" customWidth="1"/>
    <col min="15618" max="15619" width="11.42578125" style="18" customWidth="1"/>
    <col min="15620" max="15620" width="10" style="18" customWidth="1"/>
    <col min="15621" max="15621" width="12.5703125" style="18" bestFit="1" customWidth="1"/>
    <col min="15622" max="15622" width="14.5703125" style="18" customWidth="1"/>
    <col min="15623" max="15623" width="18.42578125" style="18" customWidth="1"/>
    <col min="15624" max="15624" width="17.7109375" style="18" customWidth="1"/>
    <col min="15625" max="15625" width="14.42578125" style="18" customWidth="1"/>
    <col min="15626" max="15626" width="14.5703125" style="18" customWidth="1"/>
    <col min="15627" max="15627" width="16.140625" style="18" customWidth="1"/>
    <col min="15628" max="15628" width="12" style="18" customWidth="1"/>
    <col min="15629" max="15629" width="13.28515625" style="18" customWidth="1"/>
    <col min="15630" max="15630" width="12.85546875" style="18" customWidth="1"/>
    <col min="15631" max="15640" width="6.7109375" style="18" customWidth="1"/>
    <col min="15641" max="15865" width="11.42578125" style="18" customWidth="1"/>
    <col min="15866" max="15866" width="14.7109375" style="18" customWidth="1"/>
    <col min="15867" max="15868" width="11.42578125" style="18" customWidth="1"/>
    <col min="15869" max="15869" width="16.7109375" style="18" customWidth="1"/>
    <col min="15870" max="15870" width="11.42578125" style="18" customWidth="1"/>
    <col min="15871" max="15871" width="19" style="18" customWidth="1"/>
    <col min="15872" max="15872" width="23.42578125" style="18"/>
    <col min="15873" max="15873" width="14.7109375" style="18" customWidth="1"/>
    <col min="15874" max="15875" width="11.42578125" style="18" customWidth="1"/>
    <col min="15876" max="15876" width="10" style="18" customWidth="1"/>
    <col min="15877" max="15877" width="12.5703125" style="18" bestFit="1" customWidth="1"/>
    <col min="15878" max="15878" width="14.5703125" style="18" customWidth="1"/>
    <col min="15879" max="15879" width="18.42578125" style="18" customWidth="1"/>
    <col min="15880" max="15880" width="17.7109375" style="18" customWidth="1"/>
    <col min="15881" max="15881" width="14.42578125" style="18" customWidth="1"/>
    <col min="15882" max="15882" width="14.5703125" style="18" customWidth="1"/>
    <col min="15883" max="15883" width="16.140625" style="18" customWidth="1"/>
    <col min="15884" max="15884" width="12" style="18" customWidth="1"/>
    <col min="15885" max="15885" width="13.28515625" style="18" customWidth="1"/>
    <col min="15886" max="15886" width="12.85546875" style="18" customWidth="1"/>
    <col min="15887" max="15896" width="6.7109375" style="18" customWidth="1"/>
    <col min="15897" max="16121" width="11.42578125" style="18" customWidth="1"/>
    <col min="16122" max="16122" width="14.7109375" style="18" customWidth="1"/>
    <col min="16123" max="16124" width="11.42578125" style="18" customWidth="1"/>
    <col min="16125" max="16125" width="16.7109375" style="18" customWidth="1"/>
    <col min="16126" max="16126" width="11.42578125" style="18" customWidth="1"/>
    <col min="16127" max="16127" width="19" style="18" customWidth="1"/>
    <col min="16128" max="16128" width="23.42578125" style="18"/>
    <col min="16129" max="16129" width="14.7109375" style="18" customWidth="1"/>
    <col min="16130" max="16131" width="11.42578125" style="18" customWidth="1"/>
    <col min="16132" max="16132" width="10" style="18" customWidth="1"/>
    <col min="16133" max="16133" width="12.5703125" style="18" bestFit="1" customWidth="1"/>
    <col min="16134" max="16134" width="14.5703125" style="18" customWidth="1"/>
    <col min="16135" max="16135" width="18.42578125" style="18" customWidth="1"/>
    <col min="16136" max="16136" width="17.7109375" style="18" customWidth="1"/>
    <col min="16137" max="16137" width="14.42578125" style="18" customWidth="1"/>
    <col min="16138" max="16138" width="14.5703125" style="18" customWidth="1"/>
    <col min="16139" max="16139" width="16.140625" style="18" customWidth="1"/>
    <col min="16140" max="16140" width="12" style="18" customWidth="1"/>
    <col min="16141" max="16141" width="13.28515625" style="18" customWidth="1"/>
    <col min="16142" max="16142" width="12.85546875" style="18" customWidth="1"/>
    <col min="16143" max="16152" width="6.7109375" style="18" customWidth="1"/>
    <col min="16153" max="16377" width="11.42578125" style="18" customWidth="1"/>
    <col min="16378" max="16378" width="14.7109375" style="18" customWidth="1"/>
    <col min="16379" max="16380" width="11.42578125" style="18" customWidth="1"/>
    <col min="16381" max="16381" width="16.7109375" style="18" customWidth="1"/>
    <col min="16382" max="16382" width="11.42578125" style="18" customWidth="1"/>
    <col min="16383" max="16383" width="19" style="18" customWidth="1"/>
    <col min="16384" max="16384" width="23.42578125" style="18"/>
  </cols>
  <sheetData>
    <row r="1" spans="1:1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</row>
    <row r="2" spans="1:1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K2" s="17"/>
      <c r="L2" s="17"/>
    </row>
    <row r="3" spans="1:14" x14ac:dyDescent="0.25">
      <c r="A3" s="19" t="s">
        <v>11</v>
      </c>
      <c r="C3" s="19"/>
      <c r="J3" s="58"/>
      <c r="K3" s="17"/>
      <c r="L3" s="17"/>
    </row>
    <row r="4" spans="1:14" x14ac:dyDescent="0.25">
      <c r="A4" s="20" t="s">
        <v>12</v>
      </c>
      <c r="B4" s="43"/>
      <c r="C4" s="37"/>
      <c r="D4" s="43"/>
      <c r="J4" s="58"/>
      <c r="K4" s="17"/>
      <c r="L4" s="17"/>
    </row>
    <row r="5" spans="1:14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</row>
    <row r="6" spans="1:14" x14ac:dyDescent="0.25">
      <c r="J6" s="58"/>
      <c r="K6" s="17"/>
      <c r="L6" s="17"/>
    </row>
    <row r="7" spans="1:14" x14ac:dyDescent="0.25">
      <c r="A7" s="21" t="s">
        <v>14</v>
      </c>
    </row>
    <row r="8" spans="1:14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</row>
    <row r="9" spans="1:14" x14ac:dyDescent="0.25">
      <c r="A9" s="281"/>
      <c r="B9" s="282"/>
      <c r="C9" s="282"/>
      <c r="D9" s="283"/>
      <c r="E9" s="23" t="s">
        <v>19</v>
      </c>
      <c r="F9" s="23"/>
      <c r="G9" s="24"/>
      <c r="H9" s="25"/>
      <c r="I9" s="17"/>
      <c r="J9" s="18" t="s">
        <v>20</v>
      </c>
      <c r="K9" s="26"/>
      <c r="L9" s="26"/>
      <c r="M9" s="26"/>
      <c r="N9" s="26"/>
    </row>
    <row r="10" spans="1:14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</row>
    <row r="11" spans="1:14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</row>
    <row r="12" spans="1:14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K12" s="26"/>
      <c r="L12" s="26"/>
      <c r="M12" s="26"/>
      <c r="N12" s="26"/>
    </row>
    <row r="13" spans="1:14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K13" s="26"/>
      <c r="L13" s="26"/>
      <c r="M13" s="26"/>
      <c r="N13" s="26"/>
    </row>
    <row r="14" spans="1:14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K14" s="26"/>
      <c r="L14" s="26"/>
      <c r="M14" s="26"/>
      <c r="N14" s="26"/>
    </row>
    <row r="15" spans="1:14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K15" s="26"/>
      <c r="L15" s="26"/>
      <c r="M15" s="26"/>
      <c r="N15" s="26"/>
    </row>
    <row r="16" spans="1:14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K16" s="26"/>
      <c r="L16" s="26"/>
      <c r="M16" s="26"/>
      <c r="N16" s="26"/>
    </row>
    <row r="17" spans="1:256" x14ac:dyDescent="0.25"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</row>
    <row r="18" spans="1:256" x14ac:dyDescent="0.25">
      <c r="A18" s="30"/>
      <c r="H18" s="31"/>
      <c r="I18" s="31"/>
      <c r="J18" s="32"/>
      <c r="K18" s="32"/>
      <c r="M18" s="33"/>
    </row>
    <row r="19" spans="1:256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56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56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  <c r="Y21" s="43"/>
      <c r="Z21" s="44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</row>
    <row r="22" spans="1:256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  <c r="Y22" s="43"/>
      <c r="Z22" s="44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</row>
    <row r="23" spans="1:256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  <c r="Y23" s="43"/>
      <c r="Z23" s="44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</row>
    <row r="24" spans="1:256" s="49" customFormat="1" x14ac:dyDescent="0.25">
      <c r="A24" s="251" t="s">
        <v>43</v>
      </c>
      <c r="B24" s="252"/>
      <c r="C24" s="252"/>
      <c r="D24" s="253"/>
      <c r="E24" s="161" t="s">
        <v>40</v>
      </c>
      <c r="F24" s="160">
        <v>9</v>
      </c>
      <c r="G24" s="45">
        <v>148.16</v>
      </c>
      <c r="H24" s="46">
        <f t="shared" si="2"/>
        <v>1333.44</v>
      </c>
      <c r="I24" s="161">
        <v>0</v>
      </c>
      <c r="J24" s="47">
        <f t="shared" si="0"/>
        <v>222.24</v>
      </c>
      <c r="K24" s="47">
        <f t="shared" si="4"/>
        <v>0</v>
      </c>
      <c r="L24" s="45">
        <f t="shared" si="5"/>
        <v>0</v>
      </c>
      <c r="M24" s="47">
        <f t="shared" si="1"/>
        <v>333.36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  <c r="Y24" s="49" t="s">
        <v>44</v>
      </c>
      <c r="Z24" s="50"/>
    </row>
    <row r="25" spans="1:256" s="43" customFormat="1" x14ac:dyDescent="0.25">
      <c r="A25" s="254" t="s">
        <v>45</v>
      </c>
      <c r="B25" s="255"/>
      <c r="C25" s="255"/>
      <c r="D25" s="256"/>
      <c r="E25" s="160" t="s">
        <v>40</v>
      </c>
      <c r="F25" s="160">
        <f>V25</f>
        <v>0</v>
      </c>
      <c r="G25" s="41">
        <v>136.31</v>
      </c>
      <c r="H25" s="39">
        <f t="shared" si="2"/>
        <v>0</v>
      </c>
      <c r="I25" s="160">
        <v>0</v>
      </c>
      <c r="J25" s="40">
        <f t="shared" si="0"/>
        <v>204.465</v>
      </c>
      <c r="K25" s="40">
        <f t="shared" si="4"/>
        <v>0</v>
      </c>
      <c r="L25" s="41">
        <f t="shared" si="5"/>
        <v>0</v>
      </c>
      <c r="M25" s="40">
        <f t="shared" si="1"/>
        <v>306.69749999999999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  <c r="Z25" s="44"/>
    </row>
    <row r="26" spans="1:256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  <c r="Y26" s="43"/>
      <c r="Z26" s="44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</row>
    <row r="27" spans="1:256" x14ac:dyDescent="0.25">
      <c r="A27" s="251" t="s">
        <v>47</v>
      </c>
      <c r="B27" s="252"/>
      <c r="C27" s="252"/>
      <c r="D27" s="253"/>
      <c r="E27" s="161" t="s">
        <v>40</v>
      </c>
      <c r="F27" s="160">
        <v>0</v>
      </c>
      <c r="G27" s="45">
        <v>126.43</v>
      </c>
      <c r="H27" s="46">
        <f t="shared" si="2"/>
        <v>0</v>
      </c>
      <c r="I27" s="161">
        <f t="shared" si="3"/>
        <v>0</v>
      </c>
      <c r="J27" s="47">
        <f t="shared" si="0"/>
        <v>189.64500000000001</v>
      </c>
      <c r="K27" s="47">
        <f t="shared" si="4"/>
        <v>0</v>
      </c>
      <c r="L27" s="45">
        <f t="shared" si="5"/>
        <v>0</v>
      </c>
      <c r="M27" s="47">
        <f t="shared" si="1"/>
        <v>284.46750000000003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  <c r="Y27" s="43" t="s">
        <v>48</v>
      </c>
      <c r="Z27" s="44">
        <v>2</v>
      </c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</row>
    <row r="28" spans="1:256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  <c r="Y28" s="43" t="s">
        <v>48</v>
      </c>
      <c r="Z28" s="44">
        <v>2</v>
      </c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</row>
    <row r="29" spans="1:256" s="43" customFormat="1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  <c r="Z29" s="44"/>
    </row>
    <row r="30" spans="1:256" s="43" customFormat="1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  <c r="Z30" s="44"/>
    </row>
    <row r="31" spans="1:256" s="43" customFormat="1" x14ac:dyDescent="0.25">
      <c r="A31" s="262" t="s">
        <v>51</v>
      </c>
      <c r="B31" s="262"/>
      <c r="C31" s="262"/>
      <c r="D31" s="262"/>
      <c r="E31" s="160" t="s">
        <v>40</v>
      </c>
      <c r="F31" s="160">
        <v>9</v>
      </c>
      <c r="G31" s="41">
        <v>104.36</v>
      </c>
      <c r="H31" s="39">
        <f t="shared" si="2"/>
        <v>939.24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  <c r="Z31" s="44">
        <v>1</v>
      </c>
    </row>
    <row r="32" spans="1:256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  <c r="Y32" s="43"/>
      <c r="Z32" s="44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</row>
    <row r="33" spans="1:256" s="49" customFormat="1" x14ac:dyDescent="0.25">
      <c r="A33" s="263" t="s">
        <v>53</v>
      </c>
      <c r="B33" s="263"/>
      <c r="C33" s="263"/>
      <c r="D33" s="263"/>
      <c r="E33" s="161" t="s">
        <v>40</v>
      </c>
      <c r="F33" s="160">
        <v>9</v>
      </c>
      <c r="G33" s="45">
        <v>90.87</v>
      </c>
      <c r="H33" s="46">
        <f t="shared" si="2"/>
        <v>817.83</v>
      </c>
      <c r="I33" s="161"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  <c r="Y33" s="49" t="s">
        <v>54</v>
      </c>
      <c r="Z33" s="50"/>
    </row>
    <row r="34" spans="1:256" s="43" customFormat="1" x14ac:dyDescent="0.25">
      <c r="A34" s="262" t="s">
        <v>55</v>
      </c>
      <c r="B34" s="262"/>
      <c r="C34" s="262"/>
      <c r="D34" s="262"/>
      <c r="E34" s="160" t="s">
        <v>40</v>
      </c>
      <c r="F34" s="160">
        <v>9</v>
      </c>
      <c r="G34" s="41">
        <v>82.97</v>
      </c>
      <c r="H34" s="41">
        <f t="shared" si="2"/>
        <v>746.73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  <c r="Z34" s="44"/>
    </row>
    <row r="35" spans="1:256" s="43" customFormat="1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  <c r="Z35" s="44"/>
    </row>
    <row r="36" spans="1:256" s="43" customFormat="1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  <c r="Y36" s="21"/>
      <c r="Z36" s="44"/>
    </row>
    <row r="37" spans="1:256" s="49" customFormat="1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  <c r="Z37" s="50">
        <v>4</v>
      </c>
    </row>
    <row r="38" spans="1:256" s="43" customFormat="1" x14ac:dyDescent="0.25">
      <c r="A38" s="254" t="s">
        <v>59</v>
      </c>
      <c r="B38" s="255"/>
      <c r="C38" s="255"/>
      <c r="D38" s="256"/>
      <c r="E38" s="160" t="s">
        <v>40</v>
      </c>
      <c r="F38" s="160">
        <v>9</v>
      </c>
      <c r="G38" s="41">
        <v>50.77</v>
      </c>
      <c r="H38" s="41">
        <f>F38*G38</f>
        <v>456.93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U38" s="42"/>
      <c r="V38" s="42"/>
      <c r="W38" s="42"/>
      <c r="X38" s="42"/>
      <c r="Y38" s="43" t="s">
        <v>60</v>
      </c>
      <c r="Z38" s="44">
        <v>1</v>
      </c>
    </row>
    <row r="39" spans="1:256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  <c r="Y39" s="43"/>
      <c r="Z39" s="44">
        <f>SUM(Z29:Z38)</f>
        <v>6</v>
      </c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</row>
    <row r="40" spans="1:256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56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56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56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4294.17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V43" s="18">
        <f>SUM(V21:V42)</f>
        <v>287</v>
      </c>
      <c r="W43" s="18">
        <v>45</v>
      </c>
      <c r="Z43" s="159">
        <f>+V43/W43</f>
        <v>6.3777777777777782</v>
      </c>
    </row>
    <row r="44" spans="1:256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4294.17</v>
      </c>
      <c r="I44" s="22"/>
      <c r="J44" s="63"/>
      <c r="K44" s="63"/>
      <c r="L44" s="34"/>
      <c r="M44" s="64"/>
      <c r="N44" s="63"/>
    </row>
    <row r="45" spans="1:256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257.65019999999998</v>
      </c>
      <c r="I45" s="22"/>
      <c r="J45" s="58"/>
      <c r="K45" s="58"/>
      <c r="L45" s="58"/>
      <c r="M45" s="58"/>
      <c r="N45" s="58"/>
    </row>
    <row r="46" spans="1:256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</row>
    <row r="47" spans="1:256" x14ac:dyDescent="0.25">
      <c r="A47" s="261" t="s">
        <v>70</v>
      </c>
      <c r="B47" s="261"/>
      <c r="C47" s="261"/>
      <c r="D47" s="261"/>
    </row>
    <row r="48" spans="1:256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</row>
    <row r="49" spans="1:1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</row>
    <row r="50" spans="1:1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O50" s="30"/>
    </row>
    <row r="51" spans="1:1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O51" s="30"/>
    </row>
    <row r="52" spans="1:1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</row>
    <row r="53" spans="1:1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M53" s="26"/>
    </row>
    <row r="54" spans="1:1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M54" s="26"/>
    </row>
    <row r="55" spans="1:1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M55" s="26"/>
    </row>
    <row r="56" spans="1:15" x14ac:dyDescent="0.25">
      <c r="G56" s="76" t="s">
        <v>85</v>
      </c>
      <c r="H56" s="76">
        <f>SUM(H49:H55)</f>
        <v>0</v>
      </c>
      <c r="I56" s="22"/>
      <c r="M56" s="26"/>
    </row>
    <row r="57" spans="1:15" x14ac:dyDescent="0.25">
      <c r="A57" s="77" t="s">
        <v>86</v>
      </c>
      <c r="M57" s="26"/>
    </row>
    <row r="58" spans="1:1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</row>
    <row r="59" spans="1:1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</row>
    <row r="60" spans="1:1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</row>
    <row r="61" spans="1:15" x14ac:dyDescent="0.25">
      <c r="G61" s="157" t="s">
        <v>93</v>
      </c>
      <c r="H61" s="76">
        <f>SUM(H59:H60)</f>
        <v>0</v>
      </c>
      <c r="I61" s="31"/>
    </row>
    <row r="62" spans="1:15" x14ac:dyDescent="0.25">
      <c r="A62" s="77" t="s">
        <v>94</v>
      </c>
    </row>
    <row r="63" spans="1:1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</row>
    <row r="64" spans="1:1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</row>
    <row r="65" spans="1:14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</row>
    <row r="66" spans="1:14" x14ac:dyDescent="0.25">
      <c r="G66" s="157" t="s">
        <v>98</v>
      </c>
      <c r="H66" s="76">
        <f>SUM(H64:H65)</f>
        <v>0</v>
      </c>
      <c r="I66" s="22"/>
    </row>
    <row r="67" spans="1:14" x14ac:dyDescent="0.25">
      <c r="A67" s="33" t="s">
        <v>99</v>
      </c>
      <c r="G67" s="82"/>
      <c r="H67" s="63"/>
      <c r="I67" s="22"/>
    </row>
    <row r="68" spans="1:14" x14ac:dyDescent="0.25">
      <c r="A68" s="77" t="s">
        <v>100</v>
      </c>
      <c r="J68" s="250"/>
      <c r="K68" s="250"/>
    </row>
    <row r="69" spans="1:14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</row>
    <row r="70" spans="1:14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</row>
    <row r="71" spans="1:14" x14ac:dyDescent="0.25">
      <c r="G71" s="157"/>
      <c r="H71" s="76">
        <f>SUM(H70)</f>
        <v>0</v>
      </c>
      <c r="I71" s="85"/>
      <c r="J71" s="83"/>
      <c r="K71" s="83"/>
      <c r="L71" s="83"/>
      <c r="M71" s="83"/>
      <c r="N71" s="83"/>
    </row>
    <row r="72" spans="1:14" x14ac:dyDescent="0.25">
      <c r="A72" s="77" t="s">
        <v>102</v>
      </c>
      <c r="I72" s="86"/>
      <c r="J72" s="83"/>
      <c r="K72" s="83"/>
      <c r="L72" s="83"/>
      <c r="M72" s="83"/>
      <c r="N72" s="83"/>
    </row>
    <row r="73" spans="1:14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L73" s="87"/>
    </row>
    <row r="74" spans="1:14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</row>
    <row r="75" spans="1:14" x14ac:dyDescent="0.25">
      <c r="G75" s="157" t="s">
        <v>105</v>
      </c>
      <c r="H75" s="76">
        <f>SUM(H74)</f>
        <v>0</v>
      </c>
      <c r="I75" s="22"/>
    </row>
    <row r="76" spans="1:14" x14ac:dyDescent="0.25">
      <c r="G76" s="157" t="s">
        <v>106</v>
      </c>
      <c r="H76" s="76">
        <f>H56+H61+H66+H71+H75+H45+H44+H17</f>
        <v>4551.8202000000001</v>
      </c>
      <c r="I76" s="27"/>
      <c r="J76" s="88"/>
    </row>
    <row r="77" spans="1:14" x14ac:dyDescent="0.25">
      <c r="A77" s="21" t="s">
        <v>107</v>
      </c>
      <c r="B77" s="34"/>
      <c r="C77" s="34"/>
      <c r="D77" s="43"/>
      <c r="H77" s="89"/>
      <c r="I77" s="36"/>
      <c r="J77" s="88"/>
      <c r="K77" s="58"/>
    </row>
    <row r="78" spans="1:14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</row>
    <row r="79" spans="1:14" x14ac:dyDescent="0.25">
      <c r="A79" s="234" t="s">
        <v>110</v>
      </c>
      <c r="B79" s="235"/>
      <c r="C79" s="235"/>
      <c r="D79" s="235"/>
      <c r="E79" s="164" t="s">
        <v>111</v>
      </c>
      <c r="F79" s="74">
        <v>0.5</v>
      </c>
      <c r="G79" s="80">
        <v>2200</v>
      </c>
      <c r="H79" s="95">
        <f>(F79*G79)</f>
        <v>1100</v>
      </c>
      <c r="I79" s="96"/>
      <c r="J79" s="97"/>
      <c r="K79" s="98"/>
      <c r="L79" s="88"/>
    </row>
    <row r="80" spans="1:14" ht="21" customHeight="1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7" si="9">(F80*G80)</f>
        <v>0</v>
      </c>
      <c r="I80" s="96"/>
      <c r="J80" s="97"/>
      <c r="K80" s="98"/>
      <c r="L80" s="88"/>
    </row>
    <row r="81" spans="1:26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9"/>
        <v>0</v>
      </c>
      <c r="I81" s="96"/>
      <c r="J81" s="97"/>
      <c r="K81" s="98"/>
      <c r="L81" s="88"/>
    </row>
    <row r="82" spans="1:26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9"/>
        <v>0</v>
      </c>
      <c r="I82" s="96"/>
      <c r="J82" s="97"/>
      <c r="K82" s="98"/>
      <c r="L82" s="88"/>
    </row>
    <row r="83" spans="1:26" x14ac:dyDescent="0.25">
      <c r="A83" s="245" t="s">
        <v>115</v>
      </c>
      <c r="B83" s="246"/>
      <c r="C83" s="246"/>
      <c r="D83" s="246"/>
      <c r="E83" s="23" t="s">
        <v>111</v>
      </c>
      <c r="F83" s="70">
        <v>0.5</v>
      </c>
      <c r="G83" s="73">
        <v>2200</v>
      </c>
      <c r="H83" s="105">
        <f t="shared" si="9"/>
        <v>1100</v>
      </c>
      <c r="I83" s="103"/>
      <c r="J83" s="97"/>
      <c r="K83" s="98"/>
      <c r="L83" s="88"/>
    </row>
    <row r="84" spans="1:26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9"/>
        <v>0</v>
      </c>
      <c r="I84" s="103"/>
      <c r="J84" s="97"/>
      <c r="K84" s="98"/>
      <c r="L84" s="88"/>
    </row>
    <row r="85" spans="1:26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</row>
    <row r="86" spans="1:26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</row>
    <row r="87" spans="1:26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</row>
    <row r="88" spans="1:26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</row>
    <row r="89" spans="1:26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9"/>
        <v>0</v>
      </c>
      <c r="I89" s="104"/>
      <c r="J89" s="97"/>
      <c r="K89" s="98"/>
      <c r="L89" s="88"/>
    </row>
    <row r="90" spans="1:26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</row>
    <row r="91" spans="1:26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</row>
    <row r="92" spans="1:26" s="43" customFormat="1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Z92" s="44"/>
    </row>
    <row r="93" spans="1:26" x14ac:dyDescent="0.25">
      <c r="A93" s="234" t="s">
        <v>125</v>
      </c>
      <c r="B93" s="235"/>
      <c r="C93" s="235"/>
      <c r="D93" s="235"/>
      <c r="E93" s="164" t="s">
        <v>111</v>
      </c>
      <c r="F93" s="74">
        <v>0</v>
      </c>
      <c r="G93" s="80">
        <v>2000</v>
      </c>
      <c r="H93" s="95">
        <f t="shared" si="9"/>
        <v>0</v>
      </c>
      <c r="I93" s="104"/>
      <c r="J93" s="97"/>
      <c r="K93" s="98"/>
      <c r="L93" s="88"/>
    </row>
    <row r="94" spans="1:26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</row>
    <row r="95" spans="1:26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</row>
    <row r="96" spans="1:26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</row>
    <row r="97" spans="1:14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</row>
    <row r="98" spans="1:1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1</v>
      </c>
      <c r="G98" s="80">
        <v>383.5</v>
      </c>
      <c r="H98" s="156">
        <f>(F98*G98)</f>
        <v>383.5</v>
      </c>
      <c r="I98" s="110"/>
      <c r="J98" s="111"/>
      <c r="K98" s="112"/>
      <c r="L98" s="88"/>
    </row>
    <row r="99" spans="1:14" ht="16.5" thickBot="1" x14ac:dyDescent="0.3">
      <c r="F99" s="58"/>
      <c r="G99" s="158" t="s">
        <v>131</v>
      </c>
      <c r="H99" s="113">
        <f>SUM(H79:H98)</f>
        <v>2583.5</v>
      </c>
      <c r="I99" s="114"/>
      <c r="J99" s="115"/>
      <c r="K99" s="116"/>
      <c r="L99" s="117"/>
      <c r="M99" s="58"/>
      <c r="N99" s="58"/>
    </row>
    <row r="100" spans="1:14" x14ac:dyDescent="0.25">
      <c r="F100" s="58"/>
      <c r="G100" s="82"/>
      <c r="H100" s="63"/>
      <c r="I100" s="118"/>
      <c r="J100" s="58"/>
      <c r="K100" s="119"/>
      <c r="L100" s="120"/>
      <c r="M100" s="58"/>
      <c r="N100" s="58"/>
    </row>
    <row r="101" spans="1:14" x14ac:dyDescent="0.25"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M101" s="58"/>
      <c r="N101" s="233"/>
    </row>
    <row r="102" spans="1:14" x14ac:dyDescent="0.25">
      <c r="F102" s="58"/>
      <c r="G102" s="123" t="s">
        <v>134</v>
      </c>
      <c r="H102" s="124">
        <f>H76+H99</f>
        <v>7135.3202000000001</v>
      </c>
      <c r="I102" s="229"/>
      <c r="J102" s="231"/>
      <c r="K102" s="232"/>
      <c r="M102" s="58"/>
      <c r="N102" s="233"/>
    </row>
    <row r="103" spans="1:14" x14ac:dyDescent="0.25">
      <c r="E103" s="30"/>
      <c r="F103" s="125" t="s">
        <v>135</v>
      </c>
      <c r="G103" s="126">
        <v>0.3</v>
      </c>
      <c r="H103" s="127">
        <f>H102*G103</f>
        <v>2140.5960599999999</v>
      </c>
      <c r="I103" s="128">
        <f>(M109*100)/H103</f>
        <v>-9.0396559021976213</v>
      </c>
      <c r="J103" s="40">
        <f>H103-M109</f>
        <v>2334.0985780799997</v>
      </c>
      <c r="K103" s="36"/>
      <c r="L103" s="36"/>
      <c r="M103" s="36"/>
      <c r="N103" s="129"/>
    </row>
    <row r="104" spans="1:14" x14ac:dyDescent="0.25">
      <c r="E104" s="30"/>
      <c r="F104" s="130" t="s">
        <v>136</v>
      </c>
      <c r="G104" s="131"/>
      <c r="H104" s="40">
        <f>H102+H103</f>
        <v>9275.91626</v>
      </c>
      <c r="I104" s="60"/>
      <c r="J104" s="132"/>
      <c r="K104" s="22"/>
      <c r="L104" s="22"/>
      <c r="M104" s="58"/>
      <c r="N104" s="117"/>
    </row>
    <row r="105" spans="1:14" x14ac:dyDescent="0.25">
      <c r="A105" s="30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</row>
    <row r="106" spans="1:14" x14ac:dyDescent="0.25">
      <c r="E106" s="30"/>
      <c r="F106" s="160" t="s">
        <v>138</v>
      </c>
      <c r="G106" s="135">
        <v>0.05</v>
      </c>
      <c r="H106" s="40">
        <f>H104*G106</f>
        <v>463.79581300000001</v>
      </c>
      <c r="I106" s="136">
        <f>H106+[1]Part.2!H84+[1]Part.3!H84+[1]Part.4!H84+[1]part.5!H84+[1]traslado!H66</f>
        <v>674.00785779638011</v>
      </c>
      <c r="J106" s="133" t="s">
        <v>139</v>
      </c>
      <c r="K106" s="60">
        <f>+H17</f>
        <v>0</v>
      </c>
      <c r="L106" s="132"/>
      <c r="M106" s="117"/>
      <c r="N106" s="58"/>
    </row>
    <row r="107" spans="1:14" x14ac:dyDescent="0.25">
      <c r="E107" s="30"/>
      <c r="F107" s="23" t="s">
        <v>140</v>
      </c>
      <c r="G107" s="130"/>
      <c r="H107" s="40">
        <f>H104+H106</f>
        <v>9739.7120730000006</v>
      </c>
      <c r="I107" s="133"/>
      <c r="J107" s="133" t="s">
        <v>141</v>
      </c>
      <c r="K107" s="60">
        <f>H44</f>
        <v>4294.17</v>
      </c>
      <c r="L107" s="132"/>
      <c r="M107" s="117"/>
      <c r="N107" s="58"/>
    </row>
    <row r="108" spans="1:14" x14ac:dyDescent="0.25">
      <c r="E108" s="30"/>
      <c r="F108" s="160" t="s">
        <v>142</v>
      </c>
      <c r="G108" s="135">
        <v>0.2</v>
      </c>
      <c r="H108" s="40">
        <f>H107*G108</f>
        <v>1947.9424146000001</v>
      </c>
      <c r="I108" s="133"/>
      <c r="J108" s="133" t="s">
        <v>143</v>
      </c>
      <c r="K108" s="60">
        <f>H76-H56</f>
        <v>4551.8202000000001</v>
      </c>
      <c r="L108" s="132"/>
      <c r="M108" s="137" t="s">
        <v>144</v>
      </c>
      <c r="N108" s="58"/>
    </row>
    <row r="109" spans="1:14" x14ac:dyDescent="0.25">
      <c r="F109" s="160" t="s">
        <v>145</v>
      </c>
      <c r="G109" s="125"/>
      <c r="H109" s="138">
        <f>H107+H108</f>
        <v>11687.654487600001</v>
      </c>
      <c r="I109" s="40"/>
      <c r="J109" s="139" t="s">
        <v>74</v>
      </c>
      <c r="K109" s="60">
        <f>SUM(K106:K108)</f>
        <v>8845.9902000000002</v>
      </c>
      <c r="L109" s="140">
        <f>H109-H108-(H103*0.7)-K109</f>
        <v>-604.69536899999912</v>
      </c>
      <c r="M109" s="136">
        <f>0.32*L109</f>
        <v>-193.50251807999973</v>
      </c>
      <c r="N109" s="58"/>
    </row>
    <row r="110" spans="1:14" x14ac:dyDescent="0.25">
      <c r="F110" s="160" t="s">
        <v>151</v>
      </c>
      <c r="G110" s="141"/>
      <c r="H110" s="154">
        <f>'AUTOBUS Y ALIMENTOS '!H109</f>
        <v>91064.6</v>
      </c>
      <c r="I110" s="142" t="s">
        <v>146</v>
      </c>
      <c r="J110" s="143">
        <f>H109/H102</f>
        <v>1.6380000000000001</v>
      </c>
      <c r="K110" s="58"/>
      <c r="L110" s="58"/>
      <c r="M110" s="64"/>
      <c r="N110" s="58"/>
    </row>
    <row r="111" spans="1:14" x14ac:dyDescent="0.25">
      <c r="F111" s="160" t="s">
        <v>152</v>
      </c>
      <c r="G111" s="144"/>
      <c r="H111" s="155">
        <f>H109+H110</f>
        <v>102752.2544876</v>
      </c>
      <c r="I111" s="40"/>
      <c r="J111" s="58"/>
      <c r="K111" s="58"/>
      <c r="L111" s="58"/>
      <c r="M111" s="36"/>
      <c r="N111" s="145"/>
    </row>
    <row r="112" spans="1:14" x14ac:dyDescent="0.25">
      <c r="B112" s="18" t="s">
        <v>147</v>
      </c>
      <c r="F112" s="58"/>
      <c r="G112" s="146"/>
      <c r="H112" s="36"/>
      <c r="I112" s="58"/>
      <c r="J112" s="58"/>
      <c r="K112" s="58"/>
      <c r="L112" s="58"/>
      <c r="M112" s="36"/>
      <c r="N112" s="58"/>
    </row>
    <row r="113" spans="2:14" x14ac:dyDescent="0.25"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</row>
    <row r="114" spans="2:14" x14ac:dyDescent="0.25">
      <c r="B114" s="150">
        <v>0.27500000000000002</v>
      </c>
      <c r="C114" s="150">
        <v>0.05</v>
      </c>
      <c r="D114" s="150">
        <f>B114+C114</f>
        <v>0.32500000000000001</v>
      </c>
      <c r="F114" s="64"/>
      <c r="G114" s="151"/>
      <c r="H114" s="149"/>
      <c r="I114" s="30"/>
      <c r="J114" s="58"/>
      <c r="K114" s="58"/>
      <c r="L114" s="58"/>
      <c r="M114" s="58"/>
      <c r="N114" s="58"/>
    </row>
    <row r="115" spans="2:14" x14ac:dyDescent="0.25">
      <c r="F115" s="64"/>
      <c r="G115" s="151"/>
      <c r="H115" s="149"/>
      <c r="I115" s="152"/>
      <c r="J115" s="58"/>
      <c r="K115" s="58"/>
      <c r="L115" s="58"/>
      <c r="M115" s="58"/>
      <c r="N115" s="58"/>
    </row>
    <row r="116" spans="2:14" x14ac:dyDescent="0.25">
      <c r="F116" s="64"/>
      <c r="G116" s="129"/>
      <c r="H116" s="129"/>
      <c r="I116" s="58"/>
      <c r="J116" s="58"/>
      <c r="K116" s="58"/>
      <c r="L116" s="58"/>
      <c r="M116" s="58"/>
      <c r="N116" s="58"/>
    </row>
    <row r="117" spans="2:14" x14ac:dyDescent="0.25">
      <c r="F117" s="64"/>
      <c r="G117" s="26"/>
    </row>
    <row r="118" spans="2:14" x14ac:dyDescent="0.25">
      <c r="G118" s="58"/>
      <c r="H118" s="88"/>
    </row>
    <row r="120" spans="2:14" x14ac:dyDescent="0.25">
      <c r="C120" s="153"/>
      <c r="G120" s="58"/>
      <c r="H120" s="88"/>
    </row>
    <row r="121" spans="2:14" x14ac:dyDescent="0.25">
      <c r="C121" s="153"/>
    </row>
    <row r="122" spans="2:14" x14ac:dyDescent="0.25">
      <c r="C122" s="153"/>
    </row>
    <row r="123" spans="2:14" x14ac:dyDescent="0.25">
      <c r="C123" s="153"/>
    </row>
    <row r="124" spans="2:14" x14ac:dyDescent="0.25">
      <c r="C124" s="87"/>
      <c r="D124" s="153"/>
      <c r="E124" s="153"/>
    </row>
    <row r="125" spans="2:14" x14ac:dyDescent="0.25">
      <c r="B125" s="153"/>
    </row>
    <row r="126" spans="2:14" x14ac:dyDescent="0.25">
      <c r="B126" s="153"/>
    </row>
    <row r="127" spans="2:14" x14ac:dyDescent="0.25">
      <c r="B127" s="153"/>
      <c r="C127" s="153"/>
      <c r="D127" s="153"/>
      <c r="E127" s="153"/>
      <c r="F127" s="153"/>
      <c r="G127" s="121"/>
    </row>
  </sheetData>
  <mergeCells count="83">
    <mergeCell ref="A10:D10"/>
    <mergeCell ref="A1:H1"/>
    <mergeCell ref="A2:H2"/>
    <mergeCell ref="B5:J5"/>
    <mergeCell ref="A8:D8"/>
    <mergeCell ref="A9:D9"/>
    <mergeCell ref="A23:D23"/>
    <mergeCell ref="A11:D11"/>
    <mergeCell ref="A12:D12"/>
    <mergeCell ref="A13:D13"/>
    <mergeCell ref="A14:D14"/>
    <mergeCell ref="A15:D15"/>
    <mergeCell ref="A16:D16"/>
    <mergeCell ref="O19:U19"/>
    <mergeCell ref="V19:X19"/>
    <mergeCell ref="A20:D20"/>
    <mergeCell ref="A21:D21"/>
    <mergeCell ref="A22:D22"/>
    <mergeCell ref="A35:D35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50:D50"/>
    <mergeCell ref="A36:D36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J68:K68"/>
    <mergeCell ref="A51:D51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85:D85"/>
    <mergeCell ref="A69:D69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97:D97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8:D98"/>
    <mergeCell ref="I101:I102"/>
    <mergeCell ref="J101:J102"/>
    <mergeCell ref="K101:K102"/>
    <mergeCell ref="N101:N10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"/>
  <sheetViews>
    <sheetView zoomScale="83" zoomScaleNormal="83" workbookViewId="0">
      <selection activeCell="G10" sqref="G10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18"/>
      <c r="C5" s="18"/>
      <c r="D5" s="18"/>
      <c r="E5" s="18"/>
      <c r="F5" s="18"/>
      <c r="G5" s="18"/>
      <c r="H5" s="18"/>
      <c r="I5" s="18"/>
      <c r="J5" s="18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4" t="s">
        <v>204</v>
      </c>
      <c r="B9" s="285"/>
      <c r="C9" s="285"/>
      <c r="D9" s="286"/>
      <c r="E9" s="23" t="s">
        <v>30</v>
      </c>
      <c r="F9" s="23">
        <v>1</v>
      </c>
      <c r="G9" s="24">
        <v>331</v>
      </c>
      <c r="H9" s="25">
        <f>G9*F9</f>
        <v>331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34" t="s">
        <v>205</v>
      </c>
      <c r="B10" s="234"/>
      <c r="C10" s="234"/>
      <c r="D10" s="234"/>
      <c r="E10" s="23" t="s">
        <v>206</v>
      </c>
      <c r="F10" s="164">
        <v>1</v>
      </c>
      <c r="G10" s="25">
        <v>2346.71</v>
      </c>
      <c r="H10" s="25">
        <f t="shared" ref="H10:H15" si="0">G10*F10</f>
        <v>2346.71</v>
      </c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36"/>
      <c r="B11" s="237"/>
      <c r="C11" s="237"/>
      <c r="D11" s="238"/>
      <c r="E11" s="23"/>
      <c r="F11" s="164"/>
      <c r="G11" s="25"/>
      <c r="H11" s="25"/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2677.71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1">
        <v>8</v>
      </c>
      <c r="G33" s="45">
        <v>90.87</v>
      </c>
      <c r="H33" s="46">
        <f t="shared" si="4"/>
        <v>726.96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4</v>
      </c>
      <c r="G35" s="41">
        <v>75.069999999999993</v>
      </c>
      <c r="H35" s="41">
        <f t="shared" si="4"/>
        <v>300.27999999999997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1027.24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1027.24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61.634399999999999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8</v>
      </c>
      <c r="G51" s="71">
        <v>54.43</v>
      </c>
      <c r="H51" s="71">
        <f t="shared" si="10"/>
        <v>435.44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435.44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30</v>
      </c>
      <c r="G59" s="72">
        <v>16.48</v>
      </c>
      <c r="H59" s="75">
        <f>F59*G59</f>
        <v>494.40000000000003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494.40000000000003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2</v>
      </c>
      <c r="G64" s="71">
        <v>180</v>
      </c>
      <c r="H64" s="75">
        <f>F64*G64</f>
        <v>360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360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0.5</v>
      </c>
      <c r="G70" s="71">
        <v>450</v>
      </c>
      <c r="H70" s="60">
        <f>F70*G70</f>
        <v>225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225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5281.4243999999999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5" t="s">
        <v>114</v>
      </c>
      <c r="B82" s="246"/>
      <c r="C82" s="246"/>
      <c r="D82" s="246"/>
      <c r="E82" s="23" t="s">
        <v>111</v>
      </c>
      <c r="F82" s="70"/>
      <c r="G82" s="73">
        <v>15200</v>
      </c>
      <c r="H82" s="105">
        <f t="shared" si="11"/>
        <v>0</v>
      </c>
      <c r="I82" s="96"/>
      <c r="J82" s="97"/>
      <c r="K82" s="98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96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96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96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4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95">
        <f t="shared" si="11"/>
        <v>0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5281.4243999999999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528.14243999999997</v>
      </c>
      <c r="I103" s="128">
        <f>(M109*100)/H103</f>
        <v>-170.89867959105885</v>
      </c>
      <c r="J103" s="40">
        <f>H103-M109</f>
        <v>1430.7308963200001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5809.5668399999995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0.05</v>
      </c>
      <c r="H106" s="40">
        <f>H104*G106</f>
        <v>290.478342</v>
      </c>
      <c r="I106" s="136">
        <f>H106+[1]Part.2!H84+[1]Part.3!H84+[1]Part.4!H84+[1]part.5!H84+[1]traslado!H66</f>
        <v>500.6903867963801</v>
      </c>
      <c r="J106" s="133" t="s">
        <v>139</v>
      </c>
      <c r="K106" s="60">
        <f>+H17</f>
        <v>2677.71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6100.0451819999998</v>
      </c>
      <c r="I107" s="133"/>
      <c r="J107" s="133" t="s">
        <v>141</v>
      </c>
      <c r="K107" s="60">
        <f>H44</f>
        <v>1027.24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0.2</v>
      </c>
      <c r="H108" s="40">
        <f>H107*G108</f>
        <v>1220.0090364</v>
      </c>
      <c r="I108" s="133"/>
      <c r="J108" s="133" t="s">
        <v>143</v>
      </c>
      <c r="K108" s="60">
        <f>H76-H56</f>
        <v>4845.9844000000003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7320.0542183999996</v>
      </c>
      <c r="I109" s="40"/>
      <c r="J109" s="139" t="s">
        <v>74</v>
      </c>
      <c r="K109" s="60">
        <f>SUM(K106:K108)</f>
        <v>8550.9344000000001</v>
      </c>
      <c r="L109" s="140">
        <f>H109-H108-(H103*0.7)-K109</f>
        <v>-2820.5889260000004</v>
      </c>
      <c r="M109" s="136">
        <f>0.32*L109</f>
        <v>-902.58845632000009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/>
      <c r="G110" s="141"/>
      <c r="H110" s="40"/>
      <c r="I110" s="142" t="s">
        <v>146</v>
      </c>
      <c r="J110" s="143">
        <f>H109/H102</f>
        <v>1.3859999999999999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/>
      <c r="G111" s="144"/>
      <c r="H111" s="40"/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</sheetData>
  <mergeCells count="82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zoomScaleNormal="100" workbookViewId="0">
      <selection sqref="A1:X117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9"/>
      <c r="D3" s="18"/>
      <c r="E3" s="18"/>
      <c r="F3" s="18"/>
      <c r="G3" s="18"/>
      <c r="H3" s="18"/>
      <c r="I3" s="18"/>
      <c r="J3" s="5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43"/>
      <c r="C4" s="37"/>
      <c r="D4" s="43"/>
      <c r="E4" s="18"/>
      <c r="F4" s="18"/>
      <c r="G4" s="18"/>
      <c r="H4" s="18"/>
      <c r="I4" s="18"/>
      <c r="J4" s="5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5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1"/>
      <c r="B9" s="282"/>
      <c r="C9" s="282"/>
      <c r="D9" s="283"/>
      <c r="E9" s="23" t="s">
        <v>19</v>
      </c>
      <c r="F9" s="23">
        <v>1</v>
      </c>
      <c r="G9" s="24">
        <v>0</v>
      </c>
      <c r="H9" s="25">
        <f>G9</f>
        <v>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0">
        <v>4</v>
      </c>
      <c r="G24" s="45">
        <v>237</v>
      </c>
      <c r="H24" s="46">
        <f t="shared" si="2"/>
        <v>948</v>
      </c>
      <c r="I24" s="161">
        <f t="shared" si="3"/>
        <v>0</v>
      </c>
      <c r="J24" s="47">
        <f t="shared" si="0"/>
        <v>355.5</v>
      </c>
      <c r="K24" s="47">
        <f t="shared" si="4"/>
        <v>0</v>
      </c>
      <c r="L24" s="45">
        <f t="shared" si="5"/>
        <v>0</v>
      </c>
      <c r="M24" s="47">
        <f t="shared" si="1"/>
        <v>533.25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16</v>
      </c>
      <c r="G25" s="41">
        <v>209.25</v>
      </c>
      <c r="H25" s="39">
        <f t="shared" si="2"/>
        <v>3348</v>
      </c>
      <c r="I25" s="160">
        <v>6</v>
      </c>
      <c r="J25" s="40">
        <f t="shared" si="0"/>
        <v>313.875</v>
      </c>
      <c r="K25" s="40">
        <f t="shared" si="4"/>
        <v>1883.25</v>
      </c>
      <c r="L25" s="41">
        <f t="shared" si="5"/>
        <v>0</v>
      </c>
      <c r="M25" s="40">
        <f t="shared" si="1"/>
        <v>470.8125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0">
        <v>16</v>
      </c>
      <c r="G27" s="45">
        <v>190.22</v>
      </c>
      <c r="H27" s="46">
        <f t="shared" si="2"/>
        <v>3043.52</v>
      </c>
      <c r="I27" s="161">
        <v>6</v>
      </c>
      <c r="J27" s="47">
        <f t="shared" si="0"/>
        <v>285.33</v>
      </c>
      <c r="K27" s="47">
        <f t="shared" si="4"/>
        <v>1711.98</v>
      </c>
      <c r="L27" s="45">
        <f t="shared" si="5"/>
        <v>0</v>
      </c>
      <c r="M27" s="47">
        <f t="shared" si="1"/>
        <v>427.995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7339.52</v>
      </c>
      <c r="I43" s="60"/>
      <c r="J43" s="28" t="s">
        <v>66</v>
      </c>
      <c r="K43" s="28">
        <f>SUM(K22:K41)</f>
        <v>3595.23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10934.75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656.08499999999992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/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0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0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0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11590.834999999999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43" t="s">
        <v>110</v>
      </c>
      <c r="B79" s="244"/>
      <c r="C79" s="244"/>
      <c r="D79" s="244"/>
      <c r="E79" s="99" t="s">
        <v>111</v>
      </c>
      <c r="F79" s="100">
        <v>0.5</v>
      </c>
      <c r="G79" s="101">
        <v>2200</v>
      </c>
      <c r="H79" s="102">
        <f>(F79*G79)</f>
        <v>1100</v>
      </c>
      <c r="I79" s="167"/>
      <c r="J79" s="168"/>
      <c r="K79" s="169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43" t="s">
        <v>112</v>
      </c>
      <c r="B80" s="244"/>
      <c r="C80" s="244"/>
      <c r="D80" s="244"/>
      <c r="E80" s="99" t="s">
        <v>111</v>
      </c>
      <c r="F80" s="100">
        <v>0.5</v>
      </c>
      <c r="G80" s="101">
        <v>2000</v>
      </c>
      <c r="H80" s="102">
        <f t="shared" ref="H80:H97" si="9">(F80*G80)</f>
        <v>1000</v>
      </c>
      <c r="I80" s="167"/>
      <c r="J80" s="168"/>
      <c r="K80" s="169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45" t="s">
        <v>113</v>
      </c>
      <c r="B81" s="246"/>
      <c r="C81" s="246"/>
      <c r="D81" s="246"/>
      <c r="E81" s="23" t="s">
        <v>111</v>
      </c>
      <c r="F81" s="70">
        <v>0</v>
      </c>
      <c r="G81" s="73">
        <v>7000</v>
      </c>
      <c r="H81" s="105">
        <f t="shared" si="9"/>
        <v>0</v>
      </c>
      <c r="I81" s="103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3" t="s">
        <v>114</v>
      </c>
      <c r="B82" s="244"/>
      <c r="C82" s="244"/>
      <c r="D82" s="244"/>
      <c r="E82" s="99" t="s">
        <v>111</v>
      </c>
      <c r="F82" s="100">
        <v>0.3</v>
      </c>
      <c r="G82" s="101">
        <v>15200</v>
      </c>
      <c r="H82" s="102">
        <f t="shared" si="9"/>
        <v>4560</v>
      </c>
      <c r="I82" s="167"/>
      <c r="J82" s="168"/>
      <c r="K82" s="169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3" t="s">
        <v>115</v>
      </c>
      <c r="B83" s="244"/>
      <c r="C83" s="244"/>
      <c r="D83" s="244"/>
      <c r="E83" s="99" t="s">
        <v>111</v>
      </c>
      <c r="F83" s="100">
        <v>0.3</v>
      </c>
      <c r="G83" s="101">
        <v>2200</v>
      </c>
      <c r="H83" s="102">
        <f t="shared" si="9"/>
        <v>660</v>
      </c>
      <c r="I83" s="167"/>
      <c r="J83" s="168"/>
      <c r="K83" s="169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>
        <v>0.3</v>
      </c>
      <c r="G84" s="73">
        <v>2000</v>
      </c>
      <c r="H84" s="105">
        <f t="shared" si="9"/>
        <v>600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>
        <v>0.3</v>
      </c>
      <c r="G89" s="80">
        <v>2500</v>
      </c>
      <c r="H89" s="95">
        <f t="shared" si="9"/>
        <v>750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1</v>
      </c>
      <c r="G98" s="80">
        <v>383.5</v>
      </c>
      <c r="H98" s="156">
        <f>(F98*G98)</f>
        <v>383.5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9053.5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6" customHeight="1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6" customHeight="1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20644.334999999999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2064.4335000000001</v>
      </c>
      <c r="I103" s="128">
        <f>(M109*100)/H103</f>
        <v>1.5594578948655791</v>
      </c>
      <c r="J103" s="40">
        <f>H103-M109</f>
        <v>2032.2395288000002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22708.768499999998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0.06</v>
      </c>
      <c r="H106" s="40">
        <f>H104*G106</f>
        <v>1362.5261099999998</v>
      </c>
      <c r="I106" s="136">
        <f>H106+[1]Part.2!H84+[1]Part.3!H84+[1]Part.4!H84+[1]part.5!H84+[1]traslado!H66</f>
        <v>1572.7381547963798</v>
      </c>
      <c r="J106" s="133" t="s">
        <v>139</v>
      </c>
      <c r="K106" s="60">
        <f>+H17</f>
        <v>0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24071.294609999997</v>
      </c>
      <c r="I107" s="133"/>
      <c r="J107" s="133" t="s">
        <v>141</v>
      </c>
      <c r="K107" s="60">
        <f>H44</f>
        <v>10934.75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0.1</v>
      </c>
      <c r="H108" s="40">
        <f>H107*G108</f>
        <v>2407.129461</v>
      </c>
      <c r="I108" s="133"/>
      <c r="J108" s="133" t="s">
        <v>143</v>
      </c>
      <c r="K108" s="60">
        <f>H76-H56</f>
        <v>11590.834999999999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26478.424070999998</v>
      </c>
      <c r="I109" s="40"/>
      <c r="J109" s="139" t="s">
        <v>74</v>
      </c>
      <c r="K109" s="60">
        <f>SUM(K106:K108)</f>
        <v>22525.584999999999</v>
      </c>
      <c r="L109" s="140">
        <f>H109-H108-(H103*0.7)-K109</f>
        <v>100.60615999999936</v>
      </c>
      <c r="M109" s="136">
        <f>0.32*L109</f>
        <v>32.193971199999794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 t="s">
        <v>151</v>
      </c>
      <c r="G110" s="141"/>
      <c r="H110" s="154">
        <f>' INTERRUPTOR MAT.'!H109</f>
        <v>3655.7906756800003</v>
      </c>
      <c r="I110" s="142" t="s">
        <v>146</v>
      </c>
      <c r="J110" s="143">
        <f>H109/H102</f>
        <v>1.2826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 t="s">
        <v>152</v>
      </c>
      <c r="G111" s="144"/>
      <c r="H111" s="155">
        <f>H109+H110</f>
        <v>30134.214746679998</v>
      </c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15.75" x14ac:dyDescent="0.25">
      <c r="A112" s="18"/>
      <c r="B112" s="18" t="s">
        <v>147</v>
      </c>
      <c r="C112" s="18"/>
      <c r="D112" s="18"/>
      <c r="E112" s="18"/>
      <c r="F112" s="58"/>
      <c r="G112" s="146"/>
      <c r="H112" s="36"/>
      <c r="I112" s="58"/>
      <c r="J112" s="58"/>
      <c r="K112" s="58"/>
      <c r="L112" s="58"/>
      <c r="M112" s="36"/>
      <c r="N112" s="5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ht="15.75" x14ac:dyDescent="0.25">
      <c r="A113" s="18"/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15.75" x14ac:dyDescent="0.25">
      <c r="A114" s="18"/>
      <c r="B114" s="150">
        <v>0.27500000000000002</v>
      </c>
      <c r="C114" s="150">
        <v>0.05</v>
      </c>
      <c r="D114" s="150">
        <f>B114+C114</f>
        <v>0.32500000000000001</v>
      </c>
      <c r="E114" s="18"/>
      <c r="F114" s="64"/>
      <c r="G114" s="151"/>
      <c r="H114" s="149"/>
      <c r="I114" s="30"/>
      <c r="J114" s="58"/>
      <c r="K114" s="58"/>
      <c r="L114" s="58"/>
      <c r="M114" s="58"/>
      <c r="N114" s="5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ht="15.75" x14ac:dyDescent="0.25">
      <c r="A115" s="18"/>
      <c r="B115" s="18"/>
      <c r="C115" s="18"/>
      <c r="D115" s="18"/>
      <c r="E115" s="18"/>
      <c r="F115" s="64"/>
      <c r="G115" s="151"/>
      <c r="H115" s="149"/>
      <c r="I115" s="152"/>
      <c r="J115" s="58"/>
      <c r="K115" s="58"/>
      <c r="L115" s="58"/>
      <c r="M115" s="58"/>
      <c r="N115" s="5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ht="15.75" x14ac:dyDescent="0.25">
      <c r="A116" s="18"/>
      <c r="B116" s="18"/>
      <c r="C116" s="18"/>
      <c r="D116" s="18"/>
      <c r="E116" s="18"/>
      <c r="F116" s="64"/>
      <c r="G116" s="129"/>
      <c r="H116" s="129"/>
      <c r="I116" s="58"/>
      <c r="J116" s="58"/>
      <c r="K116" s="58"/>
      <c r="L116" s="58"/>
      <c r="M116" s="58"/>
      <c r="N116" s="5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15.75" x14ac:dyDescent="0.25">
      <c r="A117" s="18"/>
      <c r="B117" s="18"/>
      <c r="C117" s="18"/>
      <c r="D117" s="18"/>
      <c r="E117" s="18"/>
      <c r="F117" s="64"/>
      <c r="G117" s="2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</sheetData>
  <mergeCells count="83">
    <mergeCell ref="N101:N102"/>
    <mergeCell ref="A98:D98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J68:K68"/>
    <mergeCell ref="A86:D86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85:D85"/>
    <mergeCell ref="A69:D69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29:D29"/>
    <mergeCell ref="A30:D30"/>
    <mergeCell ref="A31:D31"/>
    <mergeCell ref="A32:D32"/>
    <mergeCell ref="A33:D33"/>
    <mergeCell ref="V19:X19"/>
    <mergeCell ref="A20:D20"/>
    <mergeCell ref="A21:D21"/>
    <mergeCell ref="A22:D22"/>
    <mergeCell ref="A23:D23"/>
    <mergeCell ref="O19:U19"/>
    <mergeCell ref="A1:H1"/>
    <mergeCell ref="A2:H2"/>
    <mergeCell ref="A8:D8"/>
    <mergeCell ref="A9:D9"/>
    <mergeCell ref="A10:D10"/>
    <mergeCell ref="A11:D11"/>
    <mergeCell ref="B5:J5"/>
    <mergeCell ref="I101:I102"/>
    <mergeCell ref="J101:J102"/>
    <mergeCell ref="K101:K102"/>
    <mergeCell ref="A24:D24"/>
    <mergeCell ref="A12:D12"/>
    <mergeCell ref="A13:D13"/>
    <mergeCell ref="A14:D14"/>
    <mergeCell ref="A15:D15"/>
    <mergeCell ref="A16:D16"/>
    <mergeCell ref="A36:D36"/>
    <mergeCell ref="A25:D25"/>
    <mergeCell ref="A26:D26"/>
    <mergeCell ref="A27:D27"/>
    <mergeCell ref="A28:D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"/>
  <sheetViews>
    <sheetView topLeftCell="A4" workbookViewId="0">
      <selection activeCell="A13" sqref="A13:H13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18"/>
      <c r="C5" s="18"/>
      <c r="D5" s="18"/>
      <c r="E5" s="18"/>
      <c r="F5" s="18"/>
      <c r="G5" s="18"/>
      <c r="H5" s="18"/>
      <c r="I5" s="18"/>
      <c r="J5" s="18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6" customHeight="1" x14ac:dyDescent="0.25">
      <c r="A9" s="270" t="s">
        <v>204</v>
      </c>
      <c r="B9" s="271"/>
      <c r="C9" s="271"/>
      <c r="D9" s="272"/>
      <c r="E9" s="23" t="s">
        <v>19</v>
      </c>
      <c r="F9" s="23">
        <v>1</v>
      </c>
      <c r="G9" s="24">
        <v>1000</v>
      </c>
      <c r="H9" s="25">
        <f>G9*F9</f>
        <v>1000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36" t="s">
        <v>205</v>
      </c>
      <c r="B10" s="237"/>
      <c r="C10" s="237"/>
      <c r="D10" s="238"/>
      <c r="E10" s="23" t="s">
        <v>19</v>
      </c>
      <c r="F10" s="164">
        <v>10</v>
      </c>
      <c r="G10" s="25">
        <v>2346.71</v>
      </c>
      <c r="H10" s="25">
        <f t="shared" ref="H10:H15" si="0">G10*F10</f>
        <v>23467.1</v>
      </c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36" t="s">
        <v>207</v>
      </c>
      <c r="B11" s="237"/>
      <c r="C11" s="237"/>
      <c r="D11" s="238"/>
      <c r="E11" s="23" t="s">
        <v>19</v>
      </c>
      <c r="F11" s="164">
        <v>1</v>
      </c>
      <c r="G11" s="25"/>
      <c r="H11" s="25">
        <f t="shared" si="0"/>
        <v>0</v>
      </c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36" t="s">
        <v>208</v>
      </c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36"/>
      <c r="B13" s="237"/>
      <c r="C13" s="237"/>
      <c r="D13" s="238"/>
      <c r="E13" s="23"/>
      <c r="F13" s="164"/>
      <c r="G13" s="25"/>
      <c r="H13" s="25"/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24467.1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1">
        <v>8</v>
      </c>
      <c r="G33" s="45">
        <v>90.87</v>
      </c>
      <c r="H33" s="46">
        <f t="shared" si="4"/>
        <v>726.96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4</v>
      </c>
      <c r="G35" s="41">
        <v>75.069999999999993</v>
      </c>
      <c r="H35" s="41">
        <f t="shared" si="4"/>
        <v>300.27999999999997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1027.24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1027.24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61.634399999999999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8</v>
      </c>
      <c r="G51" s="71">
        <v>54.43</v>
      </c>
      <c r="H51" s="71">
        <f t="shared" si="10"/>
        <v>435.44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435.44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30</v>
      </c>
      <c r="G59" s="72">
        <v>16.48</v>
      </c>
      <c r="H59" s="75">
        <f>F59*G59</f>
        <v>494.40000000000003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494.40000000000003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2</v>
      </c>
      <c r="G64" s="71">
        <v>180</v>
      </c>
      <c r="H64" s="75">
        <f>F64*G64</f>
        <v>360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360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0.5</v>
      </c>
      <c r="G70" s="71">
        <v>450</v>
      </c>
      <c r="H70" s="60">
        <f>F70*G70</f>
        <v>225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225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27070.814399999999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11"/>
        <v>0</v>
      </c>
      <c r="I82" s="96"/>
      <c r="J82" s="97"/>
      <c r="K82" s="98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3" t="s">
        <v>119</v>
      </c>
      <c r="B87" s="244"/>
      <c r="C87" s="244"/>
      <c r="D87" s="244"/>
      <c r="E87" s="99" t="s">
        <v>111</v>
      </c>
      <c r="F87" s="100"/>
      <c r="G87" s="101">
        <v>1100</v>
      </c>
      <c r="H87" s="102">
        <f t="shared" si="11"/>
        <v>0</v>
      </c>
      <c r="I87" s="167"/>
      <c r="J87" s="168"/>
      <c r="K87" s="169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6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95">
        <f t="shared" si="11"/>
        <v>0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27070.814399999999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2707.0814399999999</v>
      </c>
      <c r="I103" s="128">
        <f>(M109*100)/H103</f>
        <v>-269.01746437004124</v>
      </c>
      <c r="J103" s="40">
        <f>H103-M109</f>
        <v>9989.6032883199987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29777.895839999997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0.05</v>
      </c>
      <c r="H106" s="40">
        <f>H104*G106</f>
        <v>1488.8947920000001</v>
      </c>
      <c r="I106" s="136">
        <f>H106+[1]Part.2!H84+[1]Part.3!H84+[1]Part.4!H84+[1]part.5!H84+[1]traslado!H66</f>
        <v>1699.1068367963801</v>
      </c>
      <c r="J106" s="133" t="s">
        <v>139</v>
      </c>
      <c r="K106" s="60">
        <f>+H17</f>
        <v>24467.1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31266.790631999997</v>
      </c>
      <c r="I107" s="133"/>
      <c r="J107" s="133" t="s">
        <v>141</v>
      </c>
      <c r="K107" s="60">
        <f>H44</f>
        <v>1027.24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0.2</v>
      </c>
      <c r="H108" s="40">
        <f>H107*G108</f>
        <v>6253.3581263999995</v>
      </c>
      <c r="I108" s="133"/>
      <c r="J108" s="133" t="s">
        <v>143</v>
      </c>
      <c r="K108" s="60">
        <f>H76-H56</f>
        <v>26635.374400000001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37520.148758399999</v>
      </c>
      <c r="I109" s="40"/>
      <c r="J109" s="139" t="s">
        <v>74</v>
      </c>
      <c r="K109" s="60">
        <f>SUM(K106:K108)</f>
        <v>52129.714399999997</v>
      </c>
      <c r="L109" s="140">
        <f>H109-H108-(H103*0.7)-K109</f>
        <v>-22757.880775999998</v>
      </c>
      <c r="M109" s="136">
        <f>0.32*L109</f>
        <v>-7282.5218483199997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/>
      <c r="G110" s="141"/>
      <c r="H110" s="40"/>
      <c r="I110" s="142" t="s">
        <v>146</v>
      </c>
      <c r="J110" s="143">
        <f>H109/H102</f>
        <v>1.3859999999999999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/>
      <c r="G111" s="144"/>
      <c r="H111" s="40"/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</sheetData>
  <mergeCells count="82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topLeftCell="A13" workbookViewId="0">
      <selection activeCell="L17" sqref="L17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9"/>
      <c r="D3" s="18"/>
      <c r="E3" s="18"/>
      <c r="F3" s="18"/>
      <c r="G3" s="18"/>
      <c r="H3" s="18"/>
      <c r="I3" s="18"/>
      <c r="J3" s="5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43"/>
      <c r="C4" s="37"/>
      <c r="D4" s="43"/>
      <c r="E4" s="18"/>
      <c r="F4" s="18"/>
      <c r="G4" s="18"/>
      <c r="H4" s="18"/>
      <c r="I4" s="18"/>
      <c r="J4" s="5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5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1"/>
      <c r="B9" s="282"/>
      <c r="C9" s="282"/>
      <c r="D9" s="283"/>
      <c r="E9" s="23" t="s">
        <v>19</v>
      </c>
      <c r="F9" s="23">
        <v>1</v>
      </c>
      <c r="G9" s="24">
        <v>0</v>
      </c>
      <c r="H9" s="25">
        <f>G9</f>
        <v>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0">
        <v>4</v>
      </c>
      <c r="G24" s="45">
        <v>237</v>
      </c>
      <c r="H24" s="46">
        <f t="shared" si="2"/>
        <v>948</v>
      </c>
      <c r="I24" s="161">
        <f t="shared" si="3"/>
        <v>0</v>
      </c>
      <c r="J24" s="47">
        <f t="shared" si="0"/>
        <v>355.5</v>
      </c>
      <c r="K24" s="47">
        <f t="shared" si="4"/>
        <v>0</v>
      </c>
      <c r="L24" s="45">
        <f t="shared" si="5"/>
        <v>0</v>
      </c>
      <c r="M24" s="47">
        <f t="shared" si="1"/>
        <v>533.25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16</v>
      </c>
      <c r="G25" s="41">
        <v>209.25</v>
      </c>
      <c r="H25" s="39">
        <f t="shared" si="2"/>
        <v>3348</v>
      </c>
      <c r="I25" s="160">
        <v>6</v>
      </c>
      <c r="J25" s="40">
        <f t="shared" si="0"/>
        <v>313.875</v>
      </c>
      <c r="K25" s="40">
        <f t="shared" si="4"/>
        <v>1883.25</v>
      </c>
      <c r="L25" s="41">
        <f t="shared" si="5"/>
        <v>0</v>
      </c>
      <c r="M25" s="40">
        <f t="shared" si="1"/>
        <v>470.8125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0">
        <v>16</v>
      </c>
      <c r="G27" s="45">
        <v>190.22</v>
      </c>
      <c r="H27" s="46">
        <f t="shared" si="2"/>
        <v>3043.52</v>
      </c>
      <c r="I27" s="161">
        <v>6</v>
      </c>
      <c r="J27" s="47">
        <f t="shared" si="0"/>
        <v>285.33</v>
      </c>
      <c r="K27" s="47">
        <f t="shared" si="4"/>
        <v>1711.98</v>
      </c>
      <c r="L27" s="45">
        <f t="shared" si="5"/>
        <v>0</v>
      </c>
      <c r="M27" s="47">
        <f t="shared" si="1"/>
        <v>427.995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7339.52</v>
      </c>
      <c r="I43" s="60"/>
      <c r="J43" s="28" t="s">
        <v>66</v>
      </c>
      <c r="K43" s="28">
        <f>SUM(K22:K41)</f>
        <v>3595.23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10934.75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656.08499999999992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/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0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0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0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11590.834999999999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43" t="s">
        <v>110</v>
      </c>
      <c r="B79" s="244"/>
      <c r="C79" s="244"/>
      <c r="D79" s="244"/>
      <c r="E79" s="99" t="s">
        <v>111</v>
      </c>
      <c r="F79" s="100">
        <v>0.5</v>
      </c>
      <c r="G79" s="101">
        <v>2200</v>
      </c>
      <c r="H79" s="102">
        <f>(F79*G79)</f>
        <v>1100</v>
      </c>
      <c r="I79" s="167"/>
      <c r="J79" s="168"/>
      <c r="K79" s="169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43" t="s">
        <v>112</v>
      </c>
      <c r="B80" s="244"/>
      <c r="C80" s="244"/>
      <c r="D80" s="244"/>
      <c r="E80" s="99" t="s">
        <v>111</v>
      </c>
      <c r="F80" s="100">
        <v>0.5</v>
      </c>
      <c r="G80" s="101">
        <v>2000</v>
      </c>
      <c r="H80" s="102">
        <f t="shared" ref="H80:H97" si="9">(F80*G80)</f>
        <v>1000</v>
      </c>
      <c r="I80" s="167"/>
      <c r="J80" s="168"/>
      <c r="K80" s="169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45" t="s">
        <v>113</v>
      </c>
      <c r="B81" s="246"/>
      <c r="C81" s="246"/>
      <c r="D81" s="246"/>
      <c r="E81" s="23" t="s">
        <v>111</v>
      </c>
      <c r="F81" s="70">
        <v>0</v>
      </c>
      <c r="G81" s="73">
        <v>7000</v>
      </c>
      <c r="H81" s="105">
        <f t="shared" si="9"/>
        <v>0</v>
      </c>
      <c r="I81" s="103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3" t="s">
        <v>114</v>
      </c>
      <c r="B82" s="244"/>
      <c r="C82" s="244"/>
      <c r="D82" s="244"/>
      <c r="E82" s="99" t="s">
        <v>111</v>
      </c>
      <c r="F82" s="100">
        <v>0.3</v>
      </c>
      <c r="G82" s="101">
        <v>15200</v>
      </c>
      <c r="H82" s="102">
        <f t="shared" si="9"/>
        <v>4560</v>
      </c>
      <c r="I82" s="167"/>
      <c r="J82" s="168"/>
      <c r="K82" s="169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3" t="s">
        <v>115</v>
      </c>
      <c r="B83" s="244"/>
      <c r="C83" s="244"/>
      <c r="D83" s="244"/>
      <c r="E83" s="99" t="s">
        <v>111</v>
      </c>
      <c r="F83" s="100">
        <v>0.3</v>
      </c>
      <c r="G83" s="101">
        <v>2200</v>
      </c>
      <c r="H83" s="102">
        <f t="shared" si="9"/>
        <v>660</v>
      </c>
      <c r="I83" s="167"/>
      <c r="J83" s="168"/>
      <c r="K83" s="169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>
        <v>0.3</v>
      </c>
      <c r="G84" s="73">
        <v>2000</v>
      </c>
      <c r="H84" s="105">
        <f t="shared" si="9"/>
        <v>600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>
        <v>0.3</v>
      </c>
      <c r="G89" s="80">
        <v>2500</v>
      </c>
      <c r="H89" s="95">
        <f t="shared" si="9"/>
        <v>750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1</v>
      </c>
      <c r="G98" s="80">
        <v>383.5</v>
      </c>
      <c r="H98" s="156">
        <f>(F98*G98)</f>
        <v>383.5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9053.5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6" customHeight="1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20644.334999999999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2064.4335000000001</v>
      </c>
      <c r="I103" s="128">
        <f>(M109*100)/H103</f>
        <v>1.5594578948655791</v>
      </c>
      <c r="J103" s="40">
        <f>H103-M109</f>
        <v>2032.2395288000002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22708.768499999998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0.06</v>
      </c>
      <c r="H106" s="40">
        <f>H104*G106</f>
        <v>1362.5261099999998</v>
      </c>
      <c r="I106" s="136">
        <f>H106+[1]Part.2!H84+[1]Part.3!H84+[1]Part.4!H84+[1]part.5!H84+[1]traslado!H66</f>
        <v>1572.7381547963798</v>
      </c>
      <c r="J106" s="133" t="s">
        <v>139</v>
      </c>
      <c r="K106" s="60">
        <f>+H17</f>
        <v>0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24071.294609999997</v>
      </c>
      <c r="I107" s="133"/>
      <c r="J107" s="133" t="s">
        <v>141</v>
      </c>
      <c r="K107" s="60">
        <f>H44</f>
        <v>10934.75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0.1</v>
      </c>
      <c r="H108" s="40">
        <f>H107*G108</f>
        <v>2407.129461</v>
      </c>
      <c r="I108" s="133"/>
      <c r="J108" s="133" t="s">
        <v>143</v>
      </c>
      <c r="K108" s="60">
        <f>H76-H56</f>
        <v>11590.834999999999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26478.424070999998</v>
      </c>
      <c r="I109" s="40"/>
      <c r="J109" s="139" t="s">
        <v>74</v>
      </c>
      <c r="K109" s="60">
        <f>SUM(K106:K108)</f>
        <v>22525.584999999999</v>
      </c>
      <c r="L109" s="140">
        <f>H109-H108-(H103*0.7)-K109</f>
        <v>100.60615999999936</v>
      </c>
      <c r="M109" s="136">
        <f>0.32*L109</f>
        <v>32.193971199999794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 t="s">
        <v>151</v>
      </c>
      <c r="G110" s="141"/>
      <c r="H110" s="154">
        <f>' INTERRUPTOR MAT.'!H109</f>
        <v>3655.7906756800003</v>
      </c>
      <c r="I110" s="142" t="s">
        <v>146</v>
      </c>
      <c r="J110" s="143">
        <f>H109/H102</f>
        <v>1.2826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 t="s">
        <v>152</v>
      </c>
      <c r="G111" s="144"/>
      <c r="H111" s="155">
        <f>H109+H110</f>
        <v>30134.214746679998</v>
      </c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15.75" x14ac:dyDescent="0.25">
      <c r="A112" s="18"/>
      <c r="B112" s="18" t="s">
        <v>147</v>
      </c>
      <c r="C112" s="18"/>
      <c r="D112" s="18"/>
      <c r="E112" s="18"/>
      <c r="F112" s="58"/>
      <c r="G112" s="146"/>
      <c r="H112" s="36"/>
      <c r="I112" s="58"/>
      <c r="J112" s="58"/>
      <c r="K112" s="58"/>
      <c r="L112" s="58"/>
      <c r="M112" s="36"/>
      <c r="N112" s="5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ht="15.75" x14ac:dyDescent="0.25">
      <c r="A113" s="18"/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15.75" x14ac:dyDescent="0.25">
      <c r="A114" s="18"/>
      <c r="B114" s="150">
        <v>0.27500000000000002</v>
      </c>
      <c r="C114" s="150">
        <v>0.05</v>
      </c>
      <c r="D114" s="150">
        <f>B114+C114</f>
        <v>0.32500000000000001</v>
      </c>
      <c r="E114" s="18"/>
      <c r="F114" s="64"/>
      <c r="G114" s="151"/>
      <c r="H114" s="149"/>
      <c r="I114" s="30"/>
      <c r="J114" s="58"/>
      <c r="K114" s="58"/>
      <c r="L114" s="58"/>
      <c r="M114" s="58"/>
      <c r="N114" s="5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ht="15.75" x14ac:dyDescent="0.25">
      <c r="A115" s="18"/>
      <c r="B115" s="18"/>
      <c r="C115" s="18"/>
      <c r="D115" s="18"/>
      <c r="E115" s="18"/>
      <c r="F115" s="64"/>
      <c r="G115" s="151"/>
      <c r="H115" s="149"/>
      <c r="I115" s="152"/>
      <c r="J115" s="58"/>
      <c r="K115" s="58"/>
      <c r="L115" s="58"/>
      <c r="M115" s="58"/>
      <c r="N115" s="5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ht="15.75" x14ac:dyDescent="0.25">
      <c r="A116" s="18"/>
      <c r="B116" s="18"/>
      <c r="C116" s="18"/>
      <c r="D116" s="18"/>
      <c r="E116" s="18"/>
      <c r="F116" s="64"/>
      <c r="G116" s="129"/>
      <c r="H116" s="129"/>
      <c r="I116" s="58"/>
      <c r="J116" s="58"/>
      <c r="K116" s="58"/>
      <c r="L116" s="58"/>
      <c r="M116" s="58"/>
      <c r="N116" s="5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15.75" x14ac:dyDescent="0.25">
      <c r="A117" s="18"/>
      <c r="B117" s="18"/>
      <c r="C117" s="18"/>
      <c r="D117" s="18"/>
      <c r="E117" s="18"/>
      <c r="F117" s="64"/>
      <c r="G117" s="2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</sheetData>
  <mergeCells count="83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B5:J5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"/>
  <sheetViews>
    <sheetView workbookViewId="0">
      <selection activeCell="G10" sqref="G10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18"/>
      <c r="C5" s="18"/>
      <c r="D5" s="18"/>
      <c r="E5" s="18"/>
      <c r="F5" s="18"/>
      <c r="G5" s="18"/>
      <c r="H5" s="18"/>
      <c r="I5" s="18"/>
      <c r="J5" s="18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36" t="s">
        <v>209</v>
      </c>
      <c r="B9" s="237"/>
      <c r="C9" s="237"/>
      <c r="D9" s="238"/>
      <c r="E9" s="23" t="s">
        <v>30</v>
      </c>
      <c r="F9" s="164">
        <v>1</v>
      </c>
      <c r="G9" s="25">
        <v>25</v>
      </c>
      <c r="H9" s="25">
        <f t="shared" ref="H9" si="0">G9*F9</f>
        <v>25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34"/>
      <c r="B10" s="234"/>
      <c r="C10" s="234"/>
      <c r="D10" s="234"/>
      <c r="E10" s="23" t="s">
        <v>19</v>
      </c>
      <c r="F10" s="164">
        <v>1</v>
      </c>
      <c r="G10" s="25"/>
      <c r="H10" s="25">
        <f t="shared" ref="H10:H15" si="1">G10*F10</f>
        <v>0</v>
      </c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36"/>
      <c r="B11" s="237"/>
      <c r="C11" s="237"/>
      <c r="D11" s="238"/>
      <c r="E11" s="23" t="s">
        <v>19</v>
      </c>
      <c r="F11" s="164">
        <v>1</v>
      </c>
      <c r="G11" s="25"/>
      <c r="H11" s="25">
        <f t="shared" si="1"/>
        <v>0</v>
      </c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1"/>
        <v>0</v>
      </c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1"/>
        <v>0</v>
      </c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1"/>
        <v>0</v>
      </c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1"/>
        <v>0</v>
      </c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25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2">G22*1.5</f>
        <v>266.685</v>
      </c>
      <c r="K22" s="40">
        <f>I22*J22</f>
        <v>0</v>
      </c>
      <c r="L22" s="41">
        <f>X22</f>
        <v>0</v>
      </c>
      <c r="M22" s="40">
        <f t="shared" ref="M22:M38" si="3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4">V23</f>
        <v>0</v>
      </c>
      <c r="G23" s="39">
        <v>185.69</v>
      </c>
      <c r="H23" s="39">
        <f t="shared" ref="H23:H39" si="5">F23*G23</f>
        <v>0</v>
      </c>
      <c r="I23" s="160">
        <f t="shared" ref="I23:I41" si="6">W23</f>
        <v>0</v>
      </c>
      <c r="J23" s="40">
        <f t="shared" si="2"/>
        <v>278.53499999999997</v>
      </c>
      <c r="K23" s="40">
        <f t="shared" ref="K23:K39" si="7">I23*J23</f>
        <v>0</v>
      </c>
      <c r="L23" s="41">
        <f t="shared" ref="L23:L42" si="8">X23</f>
        <v>0</v>
      </c>
      <c r="M23" s="40">
        <f t="shared" si="3"/>
        <v>417.80250000000001</v>
      </c>
      <c r="N23" s="40">
        <f t="shared" ref="N23:N42" si="9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10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5"/>
        <v>0</v>
      </c>
      <c r="I24" s="161">
        <f t="shared" si="6"/>
        <v>0</v>
      </c>
      <c r="J24" s="47">
        <f t="shared" si="2"/>
        <v>222.24</v>
      </c>
      <c r="K24" s="47">
        <f t="shared" si="7"/>
        <v>0</v>
      </c>
      <c r="L24" s="45">
        <f t="shared" si="8"/>
        <v>0</v>
      </c>
      <c r="M24" s="47">
        <f t="shared" si="3"/>
        <v>333.36</v>
      </c>
      <c r="N24" s="47">
        <f t="shared" si="9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10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5"/>
        <v>0</v>
      </c>
      <c r="I25" s="160">
        <f t="shared" si="6"/>
        <v>0</v>
      </c>
      <c r="J25" s="40">
        <f t="shared" si="2"/>
        <v>204.465</v>
      </c>
      <c r="K25" s="40">
        <f t="shared" si="7"/>
        <v>0</v>
      </c>
      <c r="L25" s="41">
        <f t="shared" si="8"/>
        <v>0</v>
      </c>
      <c r="M25" s="40">
        <f t="shared" si="3"/>
        <v>306.69749999999999</v>
      </c>
      <c r="N25" s="40">
        <f t="shared" si="9"/>
        <v>0</v>
      </c>
      <c r="O25" s="42"/>
      <c r="P25" s="42"/>
      <c r="Q25" s="42"/>
      <c r="R25" s="42"/>
      <c r="S25" s="42"/>
      <c r="T25" s="42"/>
      <c r="U25" s="42"/>
      <c r="V25" s="42">
        <f t="shared" si="10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4"/>
        <v>0</v>
      </c>
      <c r="G26" s="41">
        <v>136.31</v>
      </c>
      <c r="H26" s="39">
        <f t="shared" si="5"/>
        <v>0</v>
      </c>
      <c r="I26" s="160">
        <f t="shared" si="6"/>
        <v>0</v>
      </c>
      <c r="J26" s="40">
        <f t="shared" si="2"/>
        <v>204.465</v>
      </c>
      <c r="K26" s="40">
        <f t="shared" si="7"/>
        <v>0</v>
      </c>
      <c r="L26" s="41">
        <f t="shared" si="8"/>
        <v>0</v>
      </c>
      <c r="M26" s="40">
        <f t="shared" si="3"/>
        <v>306.69749999999999</v>
      </c>
      <c r="N26" s="40">
        <f t="shared" si="9"/>
        <v>0</v>
      </c>
      <c r="O26" s="42"/>
      <c r="P26" s="42"/>
      <c r="Q26" s="42"/>
      <c r="R26" s="42"/>
      <c r="S26" s="42"/>
      <c r="T26" s="42"/>
      <c r="U26" s="42"/>
      <c r="V26" s="42">
        <f t="shared" si="10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5"/>
        <v>0</v>
      </c>
      <c r="I27" s="161">
        <f t="shared" si="6"/>
        <v>0</v>
      </c>
      <c r="J27" s="47">
        <f t="shared" si="2"/>
        <v>189.64500000000001</v>
      </c>
      <c r="K27" s="47">
        <f t="shared" si="7"/>
        <v>0</v>
      </c>
      <c r="L27" s="45">
        <f t="shared" si="8"/>
        <v>0</v>
      </c>
      <c r="M27" s="47">
        <f t="shared" si="3"/>
        <v>284.46750000000003</v>
      </c>
      <c r="N27" s="47">
        <f t="shared" si="9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10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5"/>
        <v>0</v>
      </c>
      <c r="I28" s="161">
        <f t="shared" si="6"/>
        <v>0</v>
      </c>
      <c r="J28" s="47">
        <f t="shared" si="2"/>
        <v>189.64500000000001</v>
      </c>
      <c r="K28" s="47">
        <f t="shared" si="7"/>
        <v>0</v>
      </c>
      <c r="L28" s="45">
        <f t="shared" si="8"/>
        <v>0</v>
      </c>
      <c r="M28" s="47">
        <f t="shared" si="3"/>
        <v>284.46750000000003</v>
      </c>
      <c r="N28" s="47">
        <f t="shared" si="9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10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5"/>
        <v>0</v>
      </c>
      <c r="I29" s="160">
        <f t="shared" si="6"/>
        <v>0</v>
      </c>
      <c r="J29" s="40">
        <f t="shared" si="2"/>
        <v>165.94499999999999</v>
      </c>
      <c r="K29" s="40">
        <f t="shared" si="7"/>
        <v>0</v>
      </c>
      <c r="L29" s="41">
        <f t="shared" si="8"/>
        <v>0</v>
      </c>
      <c r="M29" s="40">
        <f t="shared" si="3"/>
        <v>248.91749999999999</v>
      </c>
      <c r="N29" s="40">
        <f t="shared" si="9"/>
        <v>0</v>
      </c>
      <c r="O29" s="42"/>
      <c r="P29" s="42"/>
      <c r="Q29" s="42"/>
      <c r="R29" s="42"/>
      <c r="S29" s="42"/>
      <c r="T29" s="51"/>
      <c r="U29" s="42"/>
      <c r="V29" s="42">
        <f t="shared" si="10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4"/>
        <v>0</v>
      </c>
      <c r="G30" s="41">
        <v>104.36</v>
      </c>
      <c r="H30" s="39">
        <f t="shared" si="5"/>
        <v>0</v>
      </c>
      <c r="I30" s="160">
        <f t="shared" si="6"/>
        <v>0</v>
      </c>
      <c r="J30" s="40">
        <f t="shared" si="2"/>
        <v>156.54</v>
      </c>
      <c r="K30" s="40">
        <f t="shared" si="7"/>
        <v>0</v>
      </c>
      <c r="L30" s="41">
        <f t="shared" si="8"/>
        <v>0</v>
      </c>
      <c r="M30" s="40">
        <f t="shared" si="3"/>
        <v>234.81</v>
      </c>
      <c r="N30" s="40">
        <f t="shared" si="9"/>
        <v>0</v>
      </c>
      <c r="O30" s="42"/>
      <c r="P30" s="42"/>
      <c r="Q30" s="42"/>
      <c r="R30" s="42"/>
      <c r="S30" s="42"/>
      <c r="T30" s="51"/>
      <c r="U30" s="42"/>
      <c r="V30" s="42">
        <f t="shared" si="10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5"/>
        <v>0</v>
      </c>
      <c r="I31" s="160">
        <f t="shared" si="6"/>
        <v>0</v>
      </c>
      <c r="J31" s="40">
        <f t="shared" si="2"/>
        <v>156.54</v>
      </c>
      <c r="K31" s="40">
        <f t="shared" si="7"/>
        <v>0</v>
      </c>
      <c r="L31" s="41">
        <f t="shared" si="8"/>
        <v>0</v>
      </c>
      <c r="M31" s="40">
        <f t="shared" si="3"/>
        <v>234.81</v>
      </c>
      <c r="N31" s="40">
        <f t="shared" si="9"/>
        <v>0</v>
      </c>
      <c r="O31" s="42"/>
      <c r="P31" s="42"/>
      <c r="Q31" s="42"/>
      <c r="R31" s="42"/>
      <c r="S31" s="42"/>
      <c r="T31" s="51"/>
      <c r="U31" s="42"/>
      <c r="V31" s="42">
        <f t="shared" si="10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5"/>
        <v>0</v>
      </c>
      <c r="I32" s="160">
        <f t="shared" si="6"/>
        <v>0</v>
      </c>
      <c r="J32" s="40">
        <f t="shared" si="2"/>
        <v>156.54</v>
      </c>
      <c r="K32" s="40">
        <f t="shared" si="7"/>
        <v>0</v>
      </c>
      <c r="L32" s="41">
        <f t="shared" si="8"/>
        <v>0</v>
      </c>
      <c r="M32" s="40">
        <f t="shared" si="3"/>
        <v>234.81</v>
      </c>
      <c r="N32" s="40">
        <f t="shared" si="9"/>
        <v>0</v>
      </c>
      <c r="O32" s="42"/>
      <c r="P32" s="42"/>
      <c r="Q32" s="42"/>
      <c r="R32" s="42"/>
      <c r="S32" s="42"/>
      <c r="T32" s="51"/>
      <c r="U32" s="42"/>
      <c r="V32" s="42">
        <f t="shared" si="10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1">
        <v>8</v>
      </c>
      <c r="G33" s="45">
        <v>90.87</v>
      </c>
      <c r="H33" s="46">
        <f t="shared" si="5"/>
        <v>726.96</v>
      </c>
      <c r="I33" s="161">
        <f t="shared" si="6"/>
        <v>0</v>
      </c>
      <c r="J33" s="47">
        <f t="shared" si="2"/>
        <v>136.30500000000001</v>
      </c>
      <c r="K33" s="47">
        <f t="shared" si="7"/>
        <v>0</v>
      </c>
      <c r="L33" s="45">
        <f t="shared" si="8"/>
        <v>0</v>
      </c>
      <c r="M33" s="47">
        <f t="shared" si="3"/>
        <v>204.45750000000001</v>
      </c>
      <c r="N33" s="47">
        <f t="shared" si="9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10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4"/>
        <v>0</v>
      </c>
      <c r="G34" s="41">
        <v>82.97</v>
      </c>
      <c r="H34" s="41">
        <f t="shared" si="5"/>
        <v>0</v>
      </c>
      <c r="I34" s="160">
        <f t="shared" si="6"/>
        <v>0</v>
      </c>
      <c r="J34" s="40">
        <f t="shared" si="2"/>
        <v>124.455</v>
      </c>
      <c r="K34" s="40">
        <f t="shared" si="7"/>
        <v>0</v>
      </c>
      <c r="L34" s="41">
        <f t="shared" si="8"/>
        <v>0</v>
      </c>
      <c r="M34" s="40">
        <f t="shared" si="3"/>
        <v>186.6825</v>
      </c>
      <c r="N34" s="40">
        <f t="shared" si="9"/>
        <v>0</v>
      </c>
      <c r="O34" s="42"/>
      <c r="P34" s="42"/>
      <c r="Q34" s="42"/>
      <c r="R34" s="42"/>
      <c r="S34" s="42"/>
      <c r="T34" s="51"/>
      <c r="U34" s="42"/>
      <c r="V34" s="48">
        <f t="shared" si="10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4</v>
      </c>
      <c r="G35" s="41">
        <v>75.069999999999993</v>
      </c>
      <c r="H35" s="41">
        <f t="shared" si="5"/>
        <v>300.27999999999997</v>
      </c>
      <c r="I35" s="160">
        <f t="shared" si="6"/>
        <v>0</v>
      </c>
      <c r="J35" s="40">
        <f t="shared" si="2"/>
        <v>112.60499999999999</v>
      </c>
      <c r="K35" s="40">
        <f t="shared" si="7"/>
        <v>0</v>
      </c>
      <c r="L35" s="41">
        <f t="shared" si="8"/>
        <v>0</v>
      </c>
      <c r="M35" s="40">
        <f t="shared" si="3"/>
        <v>168.90749999999997</v>
      </c>
      <c r="N35" s="40">
        <f t="shared" si="9"/>
        <v>0</v>
      </c>
      <c r="O35" s="42"/>
      <c r="P35" s="42"/>
      <c r="Q35" s="42"/>
      <c r="R35" s="42"/>
      <c r="S35" s="42"/>
      <c r="T35" s="51"/>
      <c r="U35" s="42"/>
      <c r="V35" s="48">
        <f t="shared" si="10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5"/>
        <v>0</v>
      </c>
      <c r="I36" s="160">
        <f t="shared" si="6"/>
        <v>0</v>
      </c>
      <c r="J36" s="40">
        <f t="shared" si="2"/>
        <v>112.60499999999999</v>
      </c>
      <c r="K36" s="40">
        <f t="shared" si="7"/>
        <v>0</v>
      </c>
      <c r="L36" s="41">
        <f t="shared" si="8"/>
        <v>0</v>
      </c>
      <c r="M36" s="40">
        <f t="shared" si="3"/>
        <v>168.90749999999997</v>
      </c>
      <c r="N36" s="40">
        <f t="shared" si="9"/>
        <v>0</v>
      </c>
      <c r="O36" s="42"/>
      <c r="P36" s="42"/>
      <c r="Q36" s="42"/>
      <c r="R36" s="42"/>
      <c r="S36" s="42"/>
      <c r="T36" s="51"/>
      <c r="U36" s="42"/>
      <c r="V36" s="48">
        <f t="shared" si="10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2"/>
        <v>94.814999999999998</v>
      </c>
      <c r="K37" s="47">
        <f>I37*J37</f>
        <v>0</v>
      </c>
      <c r="L37" s="45">
        <f t="shared" si="8"/>
        <v>0</v>
      </c>
      <c r="M37" s="47">
        <f t="shared" si="3"/>
        <v>142.2225</v>
      </c>
      <c r="N37" s="47">
        <f t="shared" si="9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10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4"/>
        <v>0</v>
      </c>
      <c r="G38" s="41">
        <v>50.77</v>
      </c>
      <c r="H38" s="41">
        <f>F38*G38</f>
        <v>0</v>
      </c>
      <c r="I38" s="160">
        <f t="shared" si="6"/>
        <v>0</v>
      </c>
      <c r="J38" s="40">
        <f t="shared" si="2"/>
        <v>76.155000000000001</v>
      </c>
      <c r="K38" s="40">
        <f>I38*J38</f>
        <v>0</v>
      </c>
      <c r="L38" s="41">
        <f t="shared" si="8"/>
        <v>0</v>
      </c>
      <c r="M38" s="40">
        <f t="shared" si="3"/>
        <v>114.2325</v>
      </c>
      <c r="N38" s="40">
        <f t="shared" si="9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55">
        <f t="shared" si="4"/>
        <v>0</v>
      </c>
      <c r="G39" s="56">
        <v>186</v>
      </c>
      <c r="H39" s="56">
        <f t="shared" si="5"/>
        <v>0</v>
      </c>
      <c r="I39" s="55">
        <f t="shared" si="6"/>
        <v>0</v>
      </c>
      <c r="J39" s="57">
        <v>186</v>
      </c>
      <c r="K39" s="57">
        <f t="shared" si="7"/>
        <v>0</v>
      </c>
      <c r="L39" s="56">
        <f t="shared" si="8"/>
        <v>0</v>
      </c>
      <c r="M39" s="57">
        <v>186</v>
      </c>
      <c r="N39" s="57">
        <f t="shared" si="9"/>
        <v>0</v>
      </c>
      <c r="O39" s="42"/>
      <c r="P39" s="42"/>
      <c r="Q39" s="42"/>
      <c r="R39" s="42"/>
      <c r="S39" s="42"/>
      <c r="T39" s="42"/>
      <c r="U39" s="42"/>
      <c r="V39" s="42">
        <f t="shared" si="10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55">
        <f t="shared" si="4"/>
        <v>0</v>
      </c>
      <c r="G40" s="56">
        <v>186</v>
      </c>
      <c r="H40" s="56">
        <f>F40*G40</f>
        <v>0</v>
      </c>
      <c r="I40" s="55">
        <f t="shared" si="6"/>
        <v>0</v>
      </c>
      <c r="J40" s="57">
        <v>186</v>
      </c>
      <c r="K40" s="57">
        <f>I40*J40</f>
        <v>0</v>
      </c>
      <c r="L40" s="56">
        <f t="shared" si="8"/>
        <v>0</v>
      </c>
      <c r="M40" s="57">
        <v>186</v>
      </c>
      <c r="N40" s="57">
        <f t="shared" si="9"/>
        <v>0</v>
      </c>
      <c r="O40" s="42"/>
      <c r="P40" s="42"/>
      <c r="Q40" s="42"/>
      <c r="R40" s="42"/>
      <c r="S40" s="42"/>
      <c r="T40" s="42"/>
      <c r="U40" s="42"/>
      <c r="V40" s="42">
        <f t="shared" si="10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55">
        <f t="shared" si="4"/>
        <v>0</v>
      </c>
      <c r="G41" s="56">
        <v>230.47</v>
      </c>
      <c r="H41" s="56">
        <f>F41*G41</f>
        <v>0</v>
      </c>
      <c r="I41" s="55">
        <f t="shared" si="6"/>
        <v>0</v>
      </c>
      <c r="J41" s="57">
        <v>294</v>
      </c>
      <c r="K41" s="57">
        <f>I41*J41</f>
        <v>0</v>
      </c>
      <c r="L41" s="56">
        <f t="shared" si="8"/>
        <v>0</v>
      </c>
      <c r="M41" s="57">
        <v>294</v>
      </c>
      <c r="N41" s="57">
        <f t="shared" si="9"/>
        <v>0</v>
      </c>
      <c r="O41" s="42"/>
      <c r="P41" s="42"/>
      <c r="Q41" s="42"/>
      <c r="R41" s="42"/>
      <c r="S41" s="42"/>
      <c r="T41" s="42"/>
      <c r="U41" s="42"/>
      <c r="V41" s="42">
        <f t="shared" si="10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4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8"/>
        <v>0</v>
      </c>
      <c r="M42" s="40">
        <v>559.07000000000005</v>
      </c>
      <c r="N42" s="40">
        <f t="shared" si="9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 t="shared" si="4"/>
        <v>287</v>
      </c>
      <c r="G43" s="28" t="s">
        <v>65</v>
      </c>
      <c r="H43" s="59">
        <f>SUM(H21:H42)</f>
        <v>1027.24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1027.24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61.634399999999999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1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1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8</v>
      </c>
      <c r="G51" s="71">
        <v>54.43</v>
      </c>
      <c r="H51" s="71">
        <f t="shared" si="11"/>
        <v>435.44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1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1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1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1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435.44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30</v>
      </c>
      <c r="G59" s="72">
        <v>16.48</v>
      </c>
      <c r="H59" s="75">
        <f>F59*G59</f>
        <v>494.40000000000003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494.40000000000003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2</v>
      </c>
      <c r="G64" s="71">
        <v>180</v>
      </c>
      <c r="H64" s="75">
        <f>F64*G64</f>
        <v>360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360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0.5</v>
      </c>
      <c r="G70" s="71">
        <v>450</v>
      </c>
      <c r="H70" s="60">
        <f>F70*G70</f>
        <v>225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225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2628.7143999999998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2">(F80*G80)</f>
        <v>0</v>
      </c>
      <c r="I80" s="96"/>
      <c r="J80" s="97"/>
      <c r="K80" s="98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2"/>
        <v>0</v>
      </c>
      <c r="I81" s="96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5" t="s">
        <v>114</v>
      </c>
      <c r="B82" s="246"/>
      <c r="C82" s="246"/>
      <c r="D82" s="246"/>
      <c r="E82" s="23" t="s">
        <v>111</v>
      </c>
      <c r="F82" s="70"/>
      <c r="G82" s="73">
        <v>15200</v>
      </c>
      <c r="H82" s="105">
        <f t="shared" si="12"/>
        <v>0</v>
      </c>
      <c r="I82" s="103"/>
      <c r="J82" s="97"/>
      <c r="K82" s="98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2"/>
        <v>0</v>
      </c>
      <c r="I83" s="103"/>
      <c r="J83" s="97"/>
      <c r="K83" s="98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2"/>
        <v>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2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2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2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43" t="s">
        <v>120</v>
      </c>
      <c r="B88" s="244"/>
      <c r="C88" s="244"/>
      <c r="D88" s="244"/>
      <c r="E88" s="99" t="s">
        <v>111</v>
      </c>
      <c r="F88" s="100"/>
      <c r="G88" s="101">
        <v>2700</v>
      </c>
      <c r="H88" s="102">
        <f t="shared" si="12"/>
        <v>0</v>
      </c>
      <c r="I88" s="173"/>
      <c r="J88" s="168"/>
      <c r="K88" s="169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87" t="s">
        <v>121</v>
      </c>
      <c r="B89" s="288"/>
      <c r="C89" s="288"/>
      <c r="D89" s="289"/>
      <c r="E89" s="99" t="s">
        <v>111</v>
      </c>
      <c r="F89" s="100"/>
      <c r="G89" s="101">
        <v>2500</v>
      </c>
      <c r="H89" s="102">
        <f t="shared" si="12"/>
        <v>0</v>
      </c>
      <c r="I89" s="173"/>
      <c r="J89" s="168"/>
      <c r="K89" s="169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43" t="s">
        <v>122</v>
      </c>
      <c r="B90" s="244"/>
      <c r="C90" s="244"/>
      <c r="D90" s="244"/>
      <c r="E90" s="99" t="s">
        <v>111</v>
      </c>
      <c r="F90" s="100"/>
      <c r="G90" s="101">
        <v>13373</v>
      </c>
      <c r="H90" s="102">
        <f t="shared" si="12"/>
        <v>0</v>
      </c>
      <c r="I90" s="173"/>
      <c r="J90" s="168"/>
      <c r="K90" s="169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2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2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2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43" t="s">
        <v>126</v>
      </c>
      <c r="B94" s="244"/>
      <c r="C94" s="244"/>
      <c r="D94" s="244"/>
      <c r="E94" s="99" t="s">
        <v>111</v>
      </c>
      <c r="F94" s="100"/>
      <c r="G94" s="101">
        <v>200</v>
      </c>
      <c r="H94" s="102">
        <f t="shared" si="12"/>
        <v>0</v>
      </c>
      <c r="I94" s="173"/>
      <c r="J94" s="168"/>
      <c r="K94" s="169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87" t="s">
        <v>127</v>
      </c>
      <c r="B95" s="288"/>
      <c r="C95" s="288"/>
      <c r="D95" s="289"/>
      <c r="E95" s="99" t="s">
        <v>111</v>
      </c>
      <c r="F95" s="100"/>
      <c r="G95" s="101">
        <v>1100</v>
      </c>
      <c r="H95" s="102">
        <f t="shared" si="12"/>
        <v>0</v>
      </c>
      <c r="I95" s="173"/>
      <c r="J95" s="168"/>
      <c r="K95" s="169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2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2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43" t="s">
        <v>130</v>
      </c>
      <c r="B98" s="244"/>
      <c r="C98" s="244"/>
      <c r="D98" s="244"/>
      <c r="E98" s="99" t="s">
        <v>111</v>
      </c>
      <c r="F98" s="100"/>
      <c r="G98" s="101">
        <v>383.5</v>
      </c>
      <c r="H98" s="102">
        <f t="shared" si="12"/>
        <v>0</v>
      </c>
      <c r="I98" s="170"/>
      <c r="J98" s="171"/>
      <c r="K98" s="17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2628.7143999999998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262.87144000000001</v>
      </c>
      <c r="I103" s="128">
        <f>(M109*100)/H103</f>
        <v>-47.884611702207103</v>
      </c>
      <c r="J103" s="40">
        <f>H103-M109</f>
        <v>388.74640832000034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2891.5858399999997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0.05</v>
      </c>
      <c r="H106" s="40">
        <f>H104*G106</f>
        <v>144.57929199999998</v>
      </c>
      <c r="I106" s="136">
        <f>H106+[1]Part.2!H84+[1]Part.3!H84+[1]Part.4!H84+[1]part.5!H84+[1]traslado!H66</f>
        <v>354.79133679638005</v>
      </c>
      <c r="J106" s="133" t="s">
        <v>139</v>
      </c>
      <c r="K106" s="60">
        <f>+H17</f>
        <v>25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3036.1651319999996</v>
      </c>
      <c r="I107" s="133"/>
      <c r="J107" s="133" t="s">
        <v>141</v>
      </c>
      <c r="K107" s="60">
        <f>H44</f>
        <v>1027.24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0.2</v>
      </c>
      <c r="H108" s="40">
        <f>H107*G108</f>
        <v>607.23302639999997</v>
      </c>
      <c r="I108" s="133"/>
      <c r="J108" s="133" t="s">
        <v>143</v>
      </c>
      <c r="K108" s="60">
        <f>H76-H56</f>
        <v>2193.2743999999998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3643.3981583999994</v>
      </c>
      <c r="I109" s="40"/>
      <c r="J109" s="139" t="s">
        <v>74</v>
      </c>
      <c r="K109" s="60">
        <f>SUM(K106:K108)</f>
        <v>3245.5144</v>
      </c>
      <c r="L109" s="140">
        <f>H109-H108-(H103*0.7)-K109</f>
        <v>-393.35927600000105</v>
      </c>
      <c r="M109" s="136">
        <f>0.32*L109</f>
        <v>-125.87496832000033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/>
      <c r="G110" s="141"/>
      <c r="H110" s="40"/>
      <c r="I110" s="142" t="s">
        <v>146</v>
      </c>
      <c r="J110" s="143">
        <f>H109/H102</f>
        <v>1.3859999999999999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/>
      <c r="G111" s="144"/>
      <c r="H111" s="40"/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</sheetData>
  <mergeCells count="82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workbookViewId="0">
      <selection activeCell="J17" sqref="J17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9"/>
      <c r="D3" s="18"/>
      <c r="E3" s="18"/>
      <c r="F3" s="18"/>
      <c r="G3" s="18"/>
      <c r="H3" s="18"/>
      <c r="I3" s="18"/>
      <c r="J3" s="5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43"/>
      <c r="C4" s="37"/>
      <c r="D4" s="43"/>
      <c r="E4" s="18"/>
      <c r="F4" s="18"/>
      <c r="G4" s="18"/>
      <c r="H4" s="18"/>
      <c r="I4" s="18"/>
      <c r="J4" s="5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5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1"/>
      <c r="B9" s="282"/>
      <c r="C9" s="282"/>
      <c r="D9" s="283"/>
      <c r="E9" s="23" t="s">
        <v>19</v>
      </c>
      <c r="F9" s="23">
        <v>1</v>
      </c>
      <c r="G9" s="24">
        <v>0</v>
      </c>
      <c r="H9" s="25">
        <f>G9</f>
        <v>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0">
        <v>4</v>
      </c>
      <c r="G24" s="45">
        <v>237</v>
      </c>
      <c r="H24" s="46">
        <f t="shared" si="2"/>
        <v>948</v>
      </c>
      <c r="I24" s="161">
        <f t="shared" si="3"/>
        <v>0</v>
      </c>
      <c r="J24" s="47">
        <f t="shared" si="0"/>
        <v>355.5</v>
      </c>
      <c r="K24" s="47">
        <f t="shared" si="4"/>
        <v>0</v>
      </c>
      <c r="L24" s="45">
        <f t="shared" si="5"/>
        <v>0</v>
      </c>
      <c r="M24" s="47">
        <f t="shared" si="1"/>
        <v>533.25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16</v>
      </c>
      <c r="G25" s="41">
        <v>209.25</v>
      </c>
      <c r="H25" s="39">
        <f t="shared" si="2"/>
        <v>3348</v>
      </c>
      <c r="I25" s="160">
        <v>6</v>
      </c>
      <c r="J25" s="40">
        <f t="shared" si="0"/>
        <v>313.875</v>
      </c>
      <c r="K25" s="40">
        <f t="shared" si="4"/>
        <v>1883.25</v>
      </c>
      <c r="L25" s="41">
        <f t="shared" si="5"/>
        <v>0</v>
      </c>
      <c r="M25" s="40">
        <f t="shared" si="1"/>
        <v>470.8125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0">
        <v>16</v>
      </c>
      <c r="G27" s="45">
        <v>190.22</v>
      </c>
      <c r="H27" s="46">
        <f t="shared" si="2"/>
        <v>3043.52</v>
      </c>
      <c r="I27" s="161">
        <v>6</v>
      </c>
      <c r="J27" s="47">
        <f t="shared" si="0"/>
        <v>285.33</v>
      </c>
      <c r="K27" s="47">
        <f t="shared" si="4"/>
        <v>1711.98</v>
      </c>
      <c r="L27" s="45">
        <f t="shared" si="5"/>
        <v>0</v>
      </c>
      <c r="M27" s="47">
        <f t="shared" si="1"/>
        <v>427.995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7339.52</v>
      </c>
      <c r="I43" s="60"/>
      <c r="J43" s="28" t="s">
        <v>66</v>
      </c>
      <c r="K43" s="28">
        <f>SUM(K22:K41)</f>
        <v>3595.23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10934.75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656.08499999999992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/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0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0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0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11590.834999999999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43" t="s">
        <v>110</v>
      </c>
      <c r="B79" s="244"/>
      <c r="C79" s="244"/>
      <c r="D79" s="244"/>
      <c r="E79" s="99" t="s">
        <v>111</v>
      </c>
      <c r="F79" s="100">
        <v>0.5</v>
      </c>
      <c r="G79" s="101">
        <v>2200</v>
      </c>
      <c r="H79" s="102">
        <f>(F79*G79)</f>
        <v>1100</v>
      </c>
      <c r="I79" s="167"/>
      <c r="J79" s="168"/>
      <c r="K79" s="169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43" t="s">
        <v>112</v>
      </c>
      <c r="B80" s="244"/>
      <c r="C80" s="244"/>
      <c r="D80" s="244"/>
      <c r="E80" s="99" t="s">
        <v>111</v>
      </c>
      <c r="F80" s="100">
        <v>0.5</v>
      </c>
      <c r="G80" s="101">
        <v>2000</v>
      </c>
      <c r="H80" s="102">
        <f t="shared" ref="H80:H97" si="9">(F80*G80)</f>
        <v>1000</v>
      </c>
      <c r="I80" s="167"/>
      <c r="J80" s="168"/>
      <c r="K80" s="169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45" t="s">
        <v>113</v>
      </c>
      <c r="B81" s="246"/>
      <c r="C81" s="246"/>
      <c r="D81" s="246"/>
      <c r="E81" s="23" t="s">
        <v>111</v>
      </c>
      <c r="F81" s="70">
        <v>0</v>
      </c>
      <c r="G81" s="73">
        <v>7000</v>
      </c>
      <c r="H81" s="105">
        <f t="shared" si="9"/>
        <v>0</v>
      </c>
      <c r="I81" s="103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3" t="s">
        <v>114</v>
      </c>
      <c r="B82" s="244"/>
      <c r="C82" s="244"/>
      <c r="D82" s="244"/>
      <c r="E82" s="99" t="s">
        <v>111</v>
      </c>
      <c r="F82" s="100">
        <v>0.3</v>
      </c>
      <c r="G82" s="101">
        <v>15200</v>
      </c>
      <c r="H82" s="102">
        <f t="shared" si="9"/>
        <v>4560</v>
      </c>
      <c r="I82" s="167"/>
      <c r="J82" s="168"/>
      <c r="K82" s="169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3" t="s">
        <v>115</v>
      </c>
      <c r="B83" s="244"/>
      <c r="C83" s="244"/>
      <c r="D83" s="244"/>
      <c r="E83" s="99" t="s">
        <v>111</v>
      </c>
      <c r="F83" s="100">
        <v>0.3</v>
      </c>
      <c r="G83" s="101">
        <v>2200</v>
      </c>
      <c r="H83" s="102">
        <f t="shared" si="9"/>
        <v>660</v>
      </c>
      <c r="I83" s="167"/>
      <c r="J83" s="168"/>
      <c r="K83" s="169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>
        <v>0.3</v>
      </c>
      <c r="G84" s="73">
        <v>2000</v>
      </c>
      <c r="H84" s="105">
        <f t="shared" si="9"/>
        <v>600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>
        <v>0.3</v>
      </c>
      <c r="G89" s="80">
        <v>2500</v>
      </c>
      <c r="H89" s="95">
        <f t="shared" si="9"/>
        <v>750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1</v>
      </c>
      <c r="G98" s="80">
        <v>383.5</v>
      </c>
      <c r="H98" s="156">
        <f>(F98*G98)</f>
        <v>383.5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9053.5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6" customHeight="1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20644.334999999999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2064.4335000000001</v>
      </c>
      <c r="I103" s="128">
        <f>(M109*100)/H103</f>
        <v>1.5594578948655791</v>
      </c>
      <c r="J103" s="40">
        <f>H103-M109</f>
        <v>2032.2395288000002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22708.768499999998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0.06</v>
      </c>
      <c r="H106" s="40">
        <f>H104*G106</f>
        <v>1362.5261099999998</v>
      </c>
      <c r="I106" s="136">
        <f>H106+[1]Part.2!H84+[1]Part.3!H84+[1]Part.4!H84+[1]part.5!H84+[1]traslado!H66</f>
        <v>1572.7381547963798</v>
      </c>
      <c r="J106" s="133" t="s">
        <v>139</v>
      </c>
      <c r="K106" s="60">
        <f>+H17</f>
        <v>0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24071.294609999997</v>
      </c>
      <c r="I107" s="133"/>
      <c r="J107" s="133" t="s">
        <v>141</v>
      </c>
      <c r="K107" s="60">
        <f>H44</f>
        <v>10934.75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0.1</v>
      </c>
      <c r="H108" s="40">
        <f>H107*G108</f>
        <v>2407.129461</v>
      </c>
      <c r="I108" s="133"/>
      <c r="J108" s="133" t="s">
        <v>143</v>
      </c>
      <c r="K108" s="60">
        <f>H76-H56</f>
        <v>11590.834999999999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26478.424070999998</v>
      </c>
      <c r="I109" s="40"/>
      <c r="J109" s="139" t="s">
        <v>74</v>
      </c>
      <c r="K109" s="60">
        <f>SUM(K106:K108)</f>
        <v>22525.584999999999</v>
      </c>
      <c r="L109" s="140">
        <f>H109-H108-(H103*0.7)-K109</f>
        <v>100.60615999999936</v>
      </c>
      <c r="M109" s="136">
        <f>0.32*L109</f>
        <v>32.193971199999794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 t="s">
        <v>151</v>
      </c>
      <c r="G110" s="141"/>
      <c r="H110" s="154">
        <f>' INTERRUPTOR MAT.'!H109</f>
        <v>3655.7906756800003</v>
      </c>
      <c r="I110" s="142" t="s">
        <v>146</v>
      </c>
      <c r="J110" s="143">
        <f>H109/H102</f>
        <v>1.2826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 t="s">
        <v>152</v>
      </c>
      <c r="G111" s="144"/>
      <c r="H111" s="155">
        <f>H109+H110</f>
        <v>30134.214746679998</v>
      </c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15.75" x14ac:dyDescent="0.25">
      <c r="A112" s="18"/>
      <c r="B112" s="18" t="s">
        <v>147</v>
      </c>
      <c r="C112" s="18"/>
      <c r="D112" s="18"/>
      <c r="E112" s="18"/>
      <c r="F112" s="58"/>
      <c r="G112" s="146"/>
      <c r="H112" s="36"/>
      <c r="I112" s="58"/>
      <c r="J112" s="58"/>
      <c r="K112" s="58"/>
      <c r="L112" s="58"/>
      <c r="M112" s="36"/>
      <c r="N112" s="5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ht="15.75" x14ac:dyDescent="0.25">
      <c r="A113" s="18"/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15.75" x14ac:dyDescent="0.25">
      <c r="A114" s="18"/>
      <c r="B114" s="150">
        <v>0.27500000000000002</v>
      </c>
      <c r="C114" s="150">
        <v>0.05</v>
      </c>
      <c r="D114" s="150">
        <f>B114+C114</f>
        <v>0.32500000000000001</v>
      </c>
      <c r="E114" s="18"/>
      <c r="F114" s="64"/>
      <c r="G114" s="151"/>
      <c r="H114" s="149"/>
      <c r="I114" s="30"/>
      <c r="J114" s="58"/>
      <c r="K114" s="58"/>
      <c r="L114" s="58"/>
      <c r="M114" s="58"/>
      <c r="N114" s="5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ht="15.75" x14ac:dyDescent="0.25">
      <c r="A115" s="18"/>
      <c r="B115" s="18"/>
      <c r="C115" s="18"/>
      <c r="D115" s="18"/>
      <c r="E115" s="18"/>
      <c r="F115" s="64"/>
      <c r="G115" s="151"/>
      <c r="H115" s="149"/>
      <c r="I115" s="152"/>
      <c r="J115" s="58"/>
      <c r="K115" s="58"/>
      <c r="L115" s="58"/>
      <c r="M115" s="58"/>
      <c r="N115" s="5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ht="15.75" x14ac:dyDescent="0.25">
      <c r="A116" s="18"/>
      <c r="B116" s="18"/>
      <c r="C116" s="18"/>
      <c r="D116" s="18"/>
      <c r="E116" s="18"/>
      <c r="F116" s="64"/>
      <c r="G116" s="129"/>
      <c r="H116" s="129"/>
      <c r="I116" s="58"/>
      <c r="J116" s="58"/>
      <c r="K116" s="58"/>
      <c r="L116" s="58"/>
      <c r="M116" s="58"/>
      <c r="N116" s="5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15.75" x14ac:dyDescent="0.25">
      <c r="A117" s="18"/>
      <c r="B117" s="18"/>
      <c r="C117" s="18"/>
      <c r="D117" s="18"/>
      <c r="E117" s="18"/>
      <c r="F117" s="64"/>
      <c r="G117" s="2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</sheetData>
  <mergeCells count="83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B5:J5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2"/>
  <sheetViews>
    <sheetView topLeftCell="B94" workbookViewId="0">
      <selection activeCell="H110" sqref="H110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18"/>
      <c r="C5" s="18"/>
      <c r="D5" s="18"/>
      <c r="E5" s="18"/>
      <c r="F5" s="18"/>
      <c r="G5" s="18"/>
      <c r="H5" s="18"/>
      <c r="I5" s="18"/>
      <c r="J5" s="18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4" t="s">
        <v>216</v>
      </c>
      <c r="B9" s="285"/>
      <c r="C9" s="285"/>
      <c r="D9" s="286"/>
      <c r="E9" s="23" t="s">
        <v>211</v>
      </c>
      <c r="F9" s="23">
        <v>2</v>
      </c>
      <c r="G9" s="24">
        <v>40000</v>
      </c>
      <c r="H9" s="25">
        <f>G9*F9</f>
        <v>80000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34"/>
      <c r="B10" s="234"/>
      <c r="C10" s="234"/>
      <c r="D10" s="234"/>
      <c r="E10" s="23" t="s">
        <v>19</v>
      </c>
      <c r="F10" s="164">
        <v>0</v>
      </c>
      <c r="G10" s="25"/>
      <c r="H10" s="25">
        <f t="shared" ref="H10:H15" si="0">G10*F10</f>
        <v>0</v>
      </c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36"/>
      <c r="B11" s="237"/>
      <c r="C11" s="237"/>
      <c r="D11" s="238"/>
      <c r="E11" s="23" t="s">
        <v>19</v>
      </c>
      <c r="F11" s="164">
        <v>1</v>
      </c>
      <c r="G11" s="25"/>
      <c r="H11" s="25">
        <f t="shared" si="0"/>
        <v>0</v>
      </c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80000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1">
        <v>8</v>
      </c>
      <c r="G33" s="45">
        <v>90.87</v>
      </c>
      <c r="H33" s="46">
        <f t="shared" si="4"/>
        <v>726.96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4</v>
      </c>
      <c r="G35" s="41">
        <v>75.069999999999993</v>
      </c>
      <c r="H35" s="41">
        <f t="shared" si="4"/>
        <v>300.27999999999997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1027.24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1027.24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61.634399999999999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8</v>
      </c>
      <c r="G51" s="71">
        <v>54.43</v>
      </c>
      <c r="H51" s="71">
        <f t="shared" si="10"/>
        <v>435.44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435.44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30</v>
      </c>
      <c r="G59" s="72">
        <v>16.48</v>
      </c>
      <c r="H59" s="75">
        <f>F59*G59</f>
        <v>494.40000000000003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494.40000000000003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2</v>
      </c>
      <c r="G64" s="71">
        <v>180</v>
      </c>
      <c r="H64" s="75">
        <f>F64*G64</f>
        <v>360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360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0.5</v>
      </c>
      <c r="G70" s="71">
        <v>450</v>
      </c>
      <c r="H70" s="60">
        <f>F70*G70</f>
        <v>225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225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82603.714399999997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7" si="11">(F80*G80)</f>
        <v>0</v>
      </c>
      <c r="I80" s="96"/>
      <c r="J80" s="97"/>
      <c r="K80" s="98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11"/>
        <v>0</v>
      </c>
      <c r="I82" s="96"/>
      <c r="J82" s="97"/>
      <c r="K82" s="98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6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5.75" x14ac:dyDescent="0.25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95">
        <f>(F98*G98)</f>
        <v>0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234" t="s">
        <v>202</v>
      </c>
      <c r="B99" s="235"/>
      <c r="C99" s="235"/>
      <c r="D99" s="235"/>
      <c r="E99" s="164" t="s">
        <v>111</v>
      </c>
      <c r="F99" s="74"/>
      <c r="G99" s="80">
        <v>383.5</v>
      </c>
      <c r="H99" s="95">
        <f>(F99*G99)</f>
        <v>0</v>
      </c>
      <c r="I99" s="110"/>
      <c r="J99" s="111"/>
      <c r="K99" s="112"/>
      <c r="L99" s="8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6.5" thickBot="1" x14ac:dyDescent="0.3">
      <c r="A100" s="18"/>
      <c r="B100" s="18"/>
      <c r="C100" s="18"/>
      <c r="D100" s="18"/>
      <c r="E100" s="18"/>
      <c r="F100" s="58"/>
      <c r="G100" s="158" t="s">
        <v>131</v>
      </c>
      <c r="H100" s="113">
        <f>SUM(H79:H98)</f>
        <v>0</v>
      </c>
      <c r="I100" s="114"/>
      <c r="J100" s="115"/>
      <c r="K100" s="116"/>
      <c r="L100" s="117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8"/>
      <c r="F101" s="58"/>
      <c r="G101" s="82"/>
      <c r="H101" s="63"/>
      <c r="I101" s="118"/>
      <c r="J101" s="58"/>
      <c r="K101" s="119"/>
      <c r="L101" s="120"/>
      <c r="M101" s="58"/>
      <c r="N101" s="5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21">
        <v>0</v>
      </c>
      <c r="F102" s="58"/>
      <c r="G102" s="17"/>
      <c r="H102" s="122">
        <f>+E102</f>
        <v>0</v>
      </c>
      <c r="I102" s="228" t="s">
        <v>132</v>
      </c>
      <c r="J102" s="230" t="s">
        <v>133</v>
      </c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18"/>
      <c r="F103" s="58"/>
      <c r="G103" s="123" t="s">
        <v>134</v>
      </c>
      <c r="H103" s="124">
        <f>H76+H100</f>
        <v>82603.714399999997</v>
      </c>
      <c r="I103" s="229"/>
      <c r="J103" s="231"/>
      <c r="K103" s="232"/>
      <c r="L103" s="18"/>
      <c r="M103" s="58"/>
      <c r="N103" s="233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25" t="s">
        <v>135</v>
      </c>
      <c r="G104" s="126">
        <v>0.1</v>
      </c>
      <c r="H104" s="127">
        <f>H103*G104</f>
        <v>8260.3714400000008</v>
      </c>
      <c r="I104" s="128">
        <f>(M110*100)/H104</f>
        <v>-281.48600898305358</v>
      </c>
      <c r="J104" s="40">
        <f>H104-M110</f>
        <v>31512.161333631993</v>
      </c>
      <c r="K104" s="36"/>
      <c r="L104" s="36"/>
      <c r="M104" s="36"/>
      <c r="N104" s="129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18"/>
      <c r="B105" s="18"/>
      <c r="C105" s="18"/>
      <c r="D105" s="18"/>
      <c r="E105" s="30"/>
      <c r="F105" s="130" t="s">
        <v>136</v>
      </c>
      <c r="G105" s="131"/>
      <c r="H105" s="40">
        <f>H103+H104</f>
        <v>90864.08584</v>
      </c>
      <c r="I105" s="60"/>
      <c r="J105" s="132"/>
      <c r="K105" s="22"/>
      <c r="L105" s="2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30"/>
      <c r="B106" s="18"/>
      <c r="C106" s="18"/>
      <c r="D106" s="18"/>
      <c r="E106" s="30"/>
      <c r="F106" s="23"/>
      <c r="G106" s="130"/>
      <c r="H106" s="40"/>
      <c r="I106" s="133"/>
      <c r="J106" s="133"/>
      <c r="K106" s="134" t="s">
        <v>137</v>
      </c>
      <c r="L106" s="132"/>
      <c r="M106" s="58"/>
      <c r="N106" s="1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160" t="s">
        <v>138</v>
      </c>
      <c r="G107" s="135">
        <v>0.06</v>
      </c>
      <c r="H107" s="40">
        <f>H105*G107</f>
        <v>5451.8451503999995</v>
      </c>
      <c r="I107" s="136">
        <f>H107+[1]Part.2!H84+[1]Part.3!H84+[1]Part.4!H84+[1]part.5!H84+[1]traslado!H66</f>
        <v>5662.0571951963802</v>
      </c>
      <c r="J107" s="133" t="s">
        <v>139</v>
      </c>
      <c r="K107" s="60">
        <f>+H17</f>
        <v>80000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23" t="s">
        <v>140</v>
      </c>
      <c r="G108" s="130"/>
      <c r="H108" s="40">
        <f>H105+H107</f>
        <v>96315.930990399997</v>
      </c>
      <c r="I108" s="133"/>
      <c r="J108" s="133" t="s">
        <v>141</v>
      </c>
      <c r="K108" s="60">
        <f>H44</f>
        <v>1027.24</v>
      </c>
      <c r="L108" s="132"/>
      <c r="M108" s="117"/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30"/>
      <c r="F109" s="160" t="s">
        <v>142</v>
      </c>
      <c r="G109" s="135">
        <v>0.1</v>
      </c>
      <c r="H109" s="40">
        <f>H108*G109</f>
        <v>9631.5930990399993</v>
      </c>
      <c r="I109" s="133"/>
      <c r="J109" s="133" t="s">
        <v>143</v>
      </c>
      <c r="K109" s="60">
        <f>H76-H56</f>
        <v>82168.274399999995</v>
      </c>
      <c r="L109" s="132"/>
      <c r="M109" s="137" t="s">
        <v>144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 t="s">
        <v>145</v>
      </c>
      <c r="G110" s="125"/>
      <c r="H110" s="138">
        <f>H108+H109</f>
        <v>105947.52408943999</v>
      </c>
      <c r="I110" s="40"/>
      <c r="J110" s="139" t="s">
        <v>74</v>
      </c>
      <c r="K110" s="60">
        <f>SUM(K107:K109)</f>
        <v>163195.51439999999</v>
      </c>
      <c r="L110" s="140">
        <f>H110-H109-(H104*0.7)-K110</f>
        <v>-72661.843417599986</v>
      </c>
      <c r="M110" s="136">
        <f>0.32*L110</f>
        <v>-23251.789893631994</v>
      </c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/>
      <c r="G111" s="141"/>
      <c r="H111" s="40"/>
      <c r="I111" s="142" t="s">
        <v>146</v>
      </c>
      <c r="J111" s="143">
        <f>H110/H103</f>
        <v>1.2826</v>
      </c>
      <c r="K111" s="58"/>
      <c r="L111" s="58"/>
      <c r="M111" s="64"/>
      <c r="N111" s="5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15.75" x14ac:dyDescent="0.25">
      <c r="A112" s="18"/>
      <c r="B112" s="18"/>
      <c r="C112" s="18"/>
      <c r="D112" s="18"/>
      <c r="E112" s="18"/>
      <c r="F112" s="160"/>
      <c r="G112" s="144"/>
      <c r="H112" s="40"/>
      <c r="I112" s="40"/>
      <c r="J112" s="58"/>
      <c r="K112" s="58"/>
      <c r="L112" s="58"/>
      <c r="M112" s="36"/>
      <c r="N112" s="145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</sheetData>
  <mergeCells count="83">
    <mergeCell ref="I102:I103"/>
    <mergeCell ref="J102:J103"/>
    <mergeCell ref="K102:K103"/>
    <mergeCell ref="N102:N103"/>
    <mergeCell ref="A99:D99"/>
    <mergeCell ref="A98:D98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J68:K68"/>
    <mergeCell ref="A86:D86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85:D85"/>
    <mergeCell ref="A69:D69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topLeftCell="A98" workbookViewId="0">
      <selection activeCell="J112" sqref="J112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9"/>
      <c r="D3" s="18"/>
      <c r="E3" s="18"/>
      <c r="F3" s="18"/>
      <c r="G3" s="18"/>
      <c r="H3" s="18"/>
      <c r="I3" s="18"/>
      <c r="J3" s="5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43"/>
      <c r="C4" s="37"/>
      <c r="D4" s="43"/>
      <c r="E4" s="18"/>
      <c r="F4" s="18"/>
      <c r="G4" s="18"/>
      <c r="H4" s="18"/>
      <c r="I4" s="18"/>
      <c r="J4" s="5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280"/>
      <c r="C5" s="280"/>
      <c r="D5" s="280"/>
      <c r="E5" s="280"/>
      <c r="F5" s="280"/>
      <c r="G5" s="280"/>
      <c r="H5" s="280"/>
      <c r="I5" s="280"/>
      <c r="J5" s="280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5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1"/>
      <c r="B9" s="282"/>
      <c r="C9" s="282"/>
      <c r="D9" s="283"/>
      <c r="E9" s="23" t="s">
        <v>19</v>
      </c>
      <c r="F9" s="23">
        <v>1</v>
      </c>
      <c r="G9" s="24">
        <v>0</v>
      </c>
      <c r="H9" s="25">
        <f>G9</f>
        <v>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79"/>
      <c r="B10" s="279"/>
      <c r="C10" s="279"/>
      <c r="D10" s="279"/>
      <c r="E10" s="23" t="s">
        <v>19</v>
      </c>
      <c r="F10" s="164"/>
      <c r="G10" s="25"/>
      <c r="H10" s="25"/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73"/>
      <c r="B11" s="274"/>
      <c r="C11" s="274"/>
      <c r="D11" s="275"/>
      <c r="E11" s="23" t="s">
        <v>19</v>
      </c>
      <c r="F11" s="108"/>
      <c r="G11" s="60"/>
      <c r="H11" s="25"/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73"/>
      <c r="B12" s="274"/>
      <c r="C12" s="274"/>
      <c r="D12" s="275"/>
      <c r="E12" s="23" t="s">
        <v>19</v>
      </c>
      <c r="F12" s="108"/>
      <c r="G12" s="60"/>
      <c r="H12" s="25"/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73"/>
      <c r="B13" s="274"/>
      <c r="C13" s="274"/>
      <c r="D13" s="275"/>
      <c r="E13" s="23" t="s">
        <v>19</v>
      </c>
      <c r="F13" s="108"/>
      <c r="G13" s="60"/>
      <c r="H13" s="25"/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73"/>
      <c r="B14" s="274"/>
      <c r="C14" s="274"/>
      <c r="D14" s="275"/>
      <c r="E14" s="23" t="s">
        <v>19</v>
      </c>
      <c r="F14" s="108"/>
      <c r="G14" s="60"/>
      <c r="H14" s="25"/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73"/>
      <c r="B15" s="274"/>
      <c r="C15" s="274"/>
      <c r="D15" s="275"/>
      <c r="E15" s="23" t="s">
        <v>19</v>
      </c>
      <c r="F15" s="108"/>
      <c r="G15" s="60"/>
      <c r="H15" s="25"/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76"/>
      <c r="B16" s="277"/>
      <c r="C16" s="277"/>
      <c r="D16" s="278"/>
      <c r="E16" s="23" t="s">
        <v>19</v>
      </c>
      <c r="F16" s="164"/>
      <c r="G16" s="25"/>
      <c r="H16" s="25"/>
      <c r="I16" s="27">
        <f>H16*1.455</f>
        <v>0</v>
      </c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0">G22*1.5</f>
        <v>266.685</v>
      </c>
      <c r="K22" s="40">
        <f>I22*J22</f>
        <v>0</v>
      </c>
      <c r="L22" s="41">
        <f>X22</f>
        <v>0</v>
      </c>
      <c r="M22" s="40">
        <f t="shared" ref="M22:M38" si="1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>V23</f>
        <v>0</v>
      </c>
      <c r="G23" s="39">
        <v>185.69</v>
      </c>
      <c r="H23" s="39">
        <f t="shared" ref="H23:H39" si="2">F23*G23</f>
        <v>0</v>
      </c>
      <c r="I23" s="160">
        <f t="shared" ref="I23:I41" si="3">W23</f>
        <v>0</v>
      </c>
      <c r="J23" s="40">
        <f t="shared" si="0"/>
        <v>278.53499999999997</v>
      </c>
      <c r="K23" s="40">
        <f t="shared" ref="K23:K39" si="4">I23*J23</f>
        <v>0</v>
      </c>
      <c r="L23" s="41">
        <f t="shared" ref="L23:L42" si="5">X23</f>
        <v>0</v>
      </c>
      <c r="M23" s="40">
        <f t="shared" si="1"/>
        <v>417.80250000000001</v>
      </c>
      <c r="N23" s="40">
        <f t="shared" ref="N23:N42" si="6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7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0">
        <v>0</v>
      </c>
      <c r="G24" s="45">
        <v>237</v>
      </c>
      <c r="H24" s="46">
        <f t="shared" si="2"/>
        <v>0</v>
      </c>
      <c r="I24" s="161">
        <f t="shared" si="3"/>
        <v>0</v>
      </c>
      <c r="J24" s="47">
        <f t="shared" si="0"/>
        <v>355.5</v>
      </c>
      <c r="K24" s="47">
        <f t="shared" si="4"/>
        <v>0</v>
      </c>
      <c r="L24" s="45">
        <f t="shared" si="5"/>
        <v>0</v>
      </c>
      <c r="M24" s="47">
        <f t="shared" si="1"/>
        <v>533.25</v>
      </c>
      <c r="N24" s="47">
        <f t="shared" si="6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7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209.25</v>
      </c>
      <c r="H25" s="39">
        <f t="shared" si="2"/>
        <v>0</v>
      </c>
      <c r="I25" s="160">
        <v>0</v>
      </c>
      <c r="J25" s="40">
        <f t="shared" si="0"/>
        <v>313.875</v>
      </c>
      <c r="K25" s="40">
        <f t="shared" si="4"/>
        <v>0</v>
      </c>
      <c r="L25" s="41">
        <f t="shared" si="5"/>
        <v>0</v>
      </c>
      <c r="M25" s="40">
        <f t="shared" si="1"/>
        <v>470.8125</v>
      </c>
      <c r="N25" s="40">
        <f t="shared" si="6"/>
        <v>0</v>
      </c>
      <c r="O25" s="42"/>
      <c r="P25" s="42"/>
      <c r="Q25" s="42"/>
      <c r="R25" s="42"/>
      <c r="S25" s="42"/>
      <c r="T25" s="42"/>
      <c r="U25" s="42"/>
      <c r="V25" s="42">
        <f t="shared" si="7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>V26</f>
        <v>0</v>
      </c>
      <c r="G26" s="41">
        <v>136.31</v>
      </c>
      <c r="H26" s="39">
        <f t="shared" si="2"/>
        <v>0</v>
      </c>
      <c r="I26" s="160">
        <f t="shared" si="3"/>
        <v>0</v>
      </c>
      <c r="J26" s="40">
        <f t="shared" si="0"/>
        <v>204.465</v>
      </c>
      <c r="K26" s="40">
        <f t="shared" si="4"/>
        <v>0</v>
      </c>
      <c r="L26" s="41">
        <f t="shared" si="5"/>
        <v>0</v>
      </c>
      <c r="M26" s="40">
        <f t="shared" si="1"/>
        <v>306.69749999999999</v>
      </c>
      <c r="N26" s="40">
        <f t="shared" si="6"/>
        <v>0</v>
      </c>
      <c r="O26" s="42"/>
      <c r="P26" s="42"/>
      <c r="Q26" s="42"/>
      <c r="R26" s="42"/>
      <c r="S26" s="42"/>
      <c r="T26" s="42"/>
      <c r="U26" s="42"/>
      <c r="V26" s="42">
        <f t="shared" si="7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0">
        <v>0</v>
      </c>
      <c r="G27" s="45">
        <v>190.22</v>
      </c>
      <c r="H27" s="46">
        <f t="shared" si="2"/>
        <v>0</v>
      </c>
      <c r="I27" s="161">
        <v>0</v>
      </c>
      <c r="J27" s="47">
        <f t="shared" si="0"/>
        <v>285.33</v>
      </c>
      <c r="K27" s="47">
        <f t="shared" si="4"/>
        <v>0</v>
      </c>
      <c r="L27" s="45">
        <f t="shared" si="5"/>
        <v>0</v>
      </c>
      <c r="M27" s="47">
        <f t="shared" si="1"/>
        <v>427.995</v>
      </c>
      <c r="N27" s="47">
        <f t="shared" si="6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7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0">
        <v>0</v>
      </c>
      <c r="G28" s="45">
        <v>126.43</v>
      </c>
      <c r="H28" s="46">
        <f t="shared" si="2"/>
        <v>0</v>
      </c>
      <c r="I28" s="161">
        <f t="shared" si="3"/>
        <v>0</v>
      </c>
      <c r="J28" s="47">
        <f t="shared" si="0"/>
        <v>189.64500000000001</v>
      </c>
      <c r="K28" s="47">
        <f t="shared" si="4"/>
        <v>0</v>
      </c>
      <c r="L28" s="45">
        <f t="shared" si="5"/>
        <v>0</v>
      </c>
      <c r="M28" s="47">
        <f t="shared" si="1"/>
        <v>284.46750000000003</v>
      </c>
      <c r="N28" s="47">
        <f t="shared" si="6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7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2"/>
        <v>0</v>
      </c>
      <c r="I29" s="160">
        <f t="shared" si="3"/>
        <v>0</v>
      </c>
      <c r="J29" s="40">
        <f t="shared" si="0"/>
        <v>165.94499999999999</v>
      </c>
      <c r="K29" s="40">
        <f t="shared" si="4"/>
        <v>0</v>
      </c>
      <c r="L29" s="41">
        <f t="shared" si="5"/>
        <v>0</v>
      </c>
      <c r="M29" s="40">
        <f t="shared" si="1"/>
        <v>248.91749999999999</v>
      </c>
      <c r="N29" s="40">
        <f t="shared" si="6"/>
        <v>0</v>
      </c>
      <c r="O29" s="42"/>
      <c r="P29" s="42"/>
      <c r="Q29" s="42"/>
      <c r="R29" s="42"/>
      <c r="S29" s="42"/>
      <c r="T29" s="51"/>
      <c r="U29" s="42"/>
      <c r="V29" s="42">
        <f t="shared" si="7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>V30</f>
        <v>0</v>
      </c>
      <c r="G30" s="41">
        <v>104.36</v>
      </c>
      <c r="H30" s="39">
        <f t="shared" si="2"/>
        <v>0</v>
      </c>
      <c r="I30" s="160">
        <f t="shared" si="3"/>
        <v>0</v>
      </c>
      <c r="J30" s="40">
        <f t="shared" si="0"/>
        <v>156.54</v>
      </c>
      <c r="K30" s="40">
        <f t="shared" si="4"/>
        <v>0</v>
      </c>
      <c r="L30" s="41">
        <f t="shared" si="5"/>
        <v>0</v>
      </c>
      <c r="M30" s="40">
        <f t="shared" si="1"/>
        <v>234.81</v>
      </c>
      <c r="N30" s="40">
        <f t="shared" si="6"/>
        <v>0</v>
      </c>
      <c r="O30" s="42"/>
      <c r="P30" s="42"/>
      <c r="Q30" s="42"/>
      <c r="R30" s="42"/>
      <c r="S30" s="42"/>
      <c r="T30" s="51"/>
      <c r="U30" s="42"/>
      <c r="V30" s="42">
        <f t="shared" si="7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2"/>
        <v>0</v>
      </c>
      <c r="I31" s="160">
        <f t="shared" si="3"/>
        <v>0</v>
      </c>
      <c r="J31" s="40">
        <f t="shared" si="0"/>
        <v>156.54</v>
      </c>
      <c r="K31" s="40">
        <f t="shared" si="4"/>
        <v>0</v>
      </c>
      <c r="L31" s="41">
        <f t="shared" si="5"/>
        <v>0</v>
      </c>
      <c r="M31" s="40">
        <f t="shared" si="1"/>
        <v>234.81</v>
      </c>
      <c r="N31" s="40">
        <f t="shared" si="6"/>
        <v>0</v>
      </c>
      <c r="O31" s="42"/>
      <c r="P31" s="42"/>
      <c r="Q31" s="42"/>
      <c r="R31" s="42"/>
      <c r="S31" s="42"/>
      <c r="T31" s="51"/>
      <c r="U31" s="42"/>
      <c r="V31" s="42">
        <f t="shared" si="7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f>V32</f>
        <v>0</v>
      </c>
      <c r="G32" s="41">
        <v>104.36</v>
      </c>
      <c r="H32" s="39">
        <f t="shared" si="2"/>
        <v>0</v>
      </c>
      <c r="I32" s="160">
        <f t="shared" si="3"/>
        <v>0</v>
      </c>
      <c r="J32" s="40">
        <f t="shared" si="0"/>
        <v>156.54</v>
      </c>
      <c r="K32" s="40">
        <f t="shared" si="4"/>
        <v>0</v>
      </c>
      <c r="L32" s="41">
        <f t="shared" si="5"/>
        <v>0</v>
      </c>
      <c r="M32" s="40">
        <f t="shared" si="1"/>
        <v>234.81</v>
      </c>
      <c r="N32" s="40">
        <f t="shared" si="6"/>
        <v>0</v>
      </c>
      <c r="O32" s="42"/>
      <c r="P32" s="42"/>
      <c r="Q32" s="42"/>
      <c r="R32" s="42"/>
      <c r="S32" s="42"/>
      <c r="T32" s="51"/>
      <c r="U32" s="42"/>
      <c r="V32" s="42">
        <f t="shared" si="7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0">
        <v>0</v>
      </c>
      <c r="G33" s="45">
        <v>90.87</v>
      </c>
      <c r="H33" s="46">
        <f t="shared" si="2"/>
        <v>0</v>
      </c>
      <c r="I33" s="161">
        <f t="shared" si="3"/>
        <v>0</v>
      </c>
      <c r="J33" s="47">
        <f t="shared" si="0"/>
        <v>136.30500000000001</v>
      </c>
      <c r="K33" s="47">
        <f t="shared" si="4"/>
        <v>0</v>
      </c>
      <c r="L33" s="45">
        <f t="shared" si="5"/>
        <v>0</v>
      </c>
      <c r="M33" s="47">
        <f t="shared" si="1"/>
        <v>204.45750000000001</v>
      </c>
      <c r="N33" s="47">
        <f t="shared" si="6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7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v>0</v>
      </c>
      <c r="G34" s="41">
        <v>82.97</v>
      </c>
      <c r="H34" s="41">
        <f t="shared" si="2"/>
        <v>0</v>
      </c>
      <c r="I34" s="160">
        <f t="shared" si="3"/>
        <v>0</v>
      </c>
      <c r="J34" s="40">
        <f t="shared" si="0"/>
        <v>124.455</v>
      </c>
      <c r="K34" s="40">
        <f t="shared" si="4"/>
        <v>0</v>
      </c>
      <c r="L34" s="41">
        <f t="shared" si="5"/>
        <v>0</v>
      </c>
      <c r="M34" s="40">
        <f t="shared" si="1"/>
        <v>186.6825</v>
      </c>
      <c r="N34" s="40">
        <f t="shared" si="6"/>
        <v>0</v>
      </c>
      <c r="O34" s="42"/>
      <c r="P34" s="42"/>
      <c r="Q34" s="42"/>
      <c r="R34" s="42"/>
      <c r="S34" s="42"/>
      <c r="T34" s="51"/>
      <c r="U34" s="42"/>
      <c r="V34" s="48">
        <f t="shared" si="7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2"/>
        <v>0</v>
      </c>
      <c r="I35" s="160">
        <f t="shared" si="3"/>
        <v>0</v>
      </c>
      <c r="J35" s="40">
        <f t="shared" si="0"/>
        <v>112.60499999999999</v>
      </c>
      <c r="K35" s="40">
        <f t="shared" si="4"/>
        <v>0</v>
      </c>
      <c r="L35" s="41">
        <f t="shared" si="5"/>
        <v>0</v>
      </c>
      <c r="M35" s="40">
        <f t="shared" si="1"/>
        <v>168.90749999999997</v>
      </c>
      <c r="N35" s="40">
        <f t="shared" si="6"/>
        <v>0</v>
      </c>
      <c r="O35" s="42"/>
      <c r="P35" s="42"/>
      <c r="Q35" s="42"/>
      <c r="R35" s="42"/>
      <c r="S35" s="42"/>
      <c r="T35" s="51"/>
      <c r="U35" s="42"/>
      <c r="V35" s="48">
        <f t="shared" si="7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2"/>
        <v>0</v>
      </c>
      <c r="I36" s="160">
        <f t="shared" si="3"/>
        <v>0</v>
      </c>
      <c r="J36" s="40">
        <f t="shared" si="0"/>
        <v>112.60499999999999</v>
      </c>
      <c r="K36" s="40">
        <f t="shared" si="4"/>
        <v>0</v>
      </c>
      <c r="L36" s="41">
        <f t="shared" si="5"/>
        <v>0</v>
      </c>
      <c r="M36" s="40">
        <f t="shared" si="1"/>
        <v>168.90749999999997</v>
      </c>
      <c r="N36" s="40">
        <f t="shared" si="6"/>
        <v>0</v>
      </c>
      <c r="O36" s="42"/>
      <c r="P36" s="42"/>
      <c r="Q36" s="42"/>
      <c r="R36" s="42"/>
      <c r="S36" s="42"/>
      <c r="T36" s="51"/>
      <c r="U36" s="42"/>
      <c r="V36" s="48">
        <f t="shared" si="7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0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0"/>
        <v>94.814999999999998</v>
      </c>
      <c r="K37" s="47">
        <f>I37*J37</f>
        <v>0</v>
      </c>
      <c r="L37" s="45">
        <f t="shared" si="5"/>
        <v>0</v>
      </c>
      <c r="M37" s="47">
        <f t="shared" si="1"/>
        <v>142.2225</v>
      </c>
      <c r="N37" s="47">
        <f t="shared" si="6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7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v>0</v>
      </c>
      <c r="G38" s="41">
        <v>50.77</v>
      </c>
      <c r="H38" s="41">
        <f>F38*G38</f>
        <v>0</v>
      </c>
      <c r="I38" s="160">
        <f t="shared" si="3"/>
        <v>0</v>
      </c>
      <c r="J38" s="40">
        <f t="shared" si="0"/>
        <v>76.155000000000001</v>
      </c>
      <c r="K38" s="40">
        <f>I38*J38</f>
        <v>0</v>
      </c>
      <c r="L38" s="41">
        <f t="shared" si="5"/>
        <v>0</v>
      </c>
      <c r="M38" s="40">
        <f t="shared" si="1"/>
        <v>114.2325</v>
      </c>
      <c r="N38" s="40">
        <f t="shared" si="6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160">
        <v>0</v>
      </c>
      <c r="G39" s="56">
        <v>186</v>
      </c>
      <c r="H39" s="56">
        <f t="shared" si="2"/>
        <v>0</v>
      </c>
      <c r="I39" s="55">
        <f t="shared" si="3"/>
        <v>0</v>
      </c>
      <c r="J39" s="57">
        <v>186</v>
      </c>
      <c r="K39" s="57">
        <f t="shared" si="4"/>
        <v>0</v>
      </c>
      <c r="L39" s="56">
        <f t="shared" si="5"/>
        <v>0</v>
      </c>
      <c r="M39" s="57">
        <v>186</v>
      </c>
      <c r="N39" s="57">
        <f t="shared" si="6"/>
        <v>0</v>
      </c>
      <c r="O39" s="42"/>
      <c r="P39" s="42"/>
      <c r="Q39" s="42"/>
      <c r="R39" s="42"/>
      <c r="S39" s="42"/>
      <c r="T39" s="42"/>
      <c r="U39" s="42"/>
      <c r="V39" s="42">
        <f t="shared" si="7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160">
        <v>0</v>
      </c>
      <c r="G40" s="56">
        <v>186</v>
      </c>
      <c r="H40" s="56">
        <f>F40*G40</f>
        <v>0</v>
      </c>
      <c r="I40" s="55">
        <f t="shared" si="3"/>
        <v>0</v>
      </c>
      <c r="J40" s="57">
        <v>186</v>
      </c>
      <c r="K40" s="57">
        <f>I40*J40</f>
        <v>0</v>
      </c>
      <c r="L40" s="56">
        <f t="shared" si="5"/>
        <v>0</v>
      </c>
      <c r="M40" s="57">
        <v>186</v>
      </c>
      <c r="N40" s="57">
        <f t="shared" si="6"/>
        <v>0</v>
      </c>
      <c r="O40" s="42"/>
      <c r="P40" s="42"/>
      <c r="Q40" s="42"/>
      <c r="R40" s="42"/>
      <c r="S40" s="42"/>
      <c r="T40" s="42"/>
      <c r="U40" s="42"/>
      <c r="V40" s="42">
        <f t="shared" si="7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160">
        <v>0</v>
      </c>
      <c r="G41" s="56">
        <v>230.47</v>
      </c>
      <c r="H41" s="56">
        <f>F41*G41</f>
        <v>0</v>
      </c>
      <c r="I41" s="55">
        <f t="shared" si="3"/>
        <v>0</v>
      </c>
      <c r="J41" s="57">
        <v>294</v>
      </c>
      <c r="K41" s="57">
        <f>I41*J41</f>
        <v>0</v>
      </c>
      <c r="L41" s="56">
        <f t="shared" si="5"/>
        <v>0</v>
      </c>
      <c r="M41" s="57">
        <v>294</v>
      </c>
      <c r="N41" s="57">
        <f t="shared" si="6"/>
        <v>0</v>
      </c>
      <c r="O41" s="42"/>
      <c r="P41" s="42"/>
      <c r="Q41" s="42"/>
      <c r="R41" s="42"/>
      <c r="S41" s="42"/>
      <c r="T41" s="42"/>
      <c r="U41" s="42"/>
      <c r="V41" s="42">
        <f t="shared" si="7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>V42</f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5"/>
        <v>0</v>
      </c>
      <c r="M42" s="40">
        <v>559.07000000000005</v>
      </c>
      <c r="N42" s="40">
        <f t="shared" si="6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>V43</f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/>
      <c r="G49" s="71">
        <v>102.29</v>
      </c>
      <c r="H49" s="71">
        <f t="shared" ref="H49:H55" si="8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8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0</v>
      </c>
      <c r="G51" s="71">
        <v>54.43</v>
      </c>
      <c r="H51" s="71">
        <f t="shared" si="8"/>
        <v>0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v>0</v>
      </c>
      <c r="G52" s="24">
        <v>203.19</v>
      </c>
      <c r="H52" s="24">
        <f t="shared" si="8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>
        <v>0</v>
      </c>
      <c r="G53" s="71">
        <v>407.62</v>
      </c>
      <c r="H53" s="75">
        <f t="shared" si="8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>
        <v>0</v>
      </c>
      <c r="G54" s="24">
        <v>5000</v>
      </c>
      <c r="H54" s="25">
        <f t="shared" si="8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>
        <v>0</v>
      </c>
      <c r="G55" s="71">
        <v>2.5</v>
      </c>
      <c r="H55" s="75">
        <f t="shared" si="8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0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0</v>
      </c>
      <c r="G59" s="72">
        <v>19</v>
      </c>
      <c r="H59" s="75">
        <f>F59*G59</f>
        <v>0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0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0</v>
      </c>
      <c r="G64" s="71">
        <v>100</v>
      </c>
      <c r="H64" s="75">
        <f>F64*G64</f>
        <v>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>
        <v>0</v>
      </c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</v>
      </c>
      <c r="G70" s="71">
        <v>450</v>
      </c>
      <c r="H70" s="60">
        <f>F70*G70</f>
        <v>0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0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0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43" t="s">
        <v>110</v>
      </c>
      <c r="B79" s="244"/>
      <c r="C79" s="244"/>
      <c r="D79" s="244"/>
      <c r="E79" s="99" t="s">
        <v>111</v>
      </c>
      <c r="F79" s="100"/>
      <c r="G79" s="101">
        <v>2200</v>
      </c>
      <c r="H79" s="102">
        <f>(F79*G79)</f>
        <v>0</v>
      </c>
      <c r="I79" s="167"/>
      <c r="J79" s="168"/>
      <c r="K79" s="169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43" t="s">
        <v>112</v>
      </c>
      <c r="B80" s="244"/>
      <c r="C80" s="244"/>
      <c r="D80" s="244"/>
      <c r="E80" s="99" t="s">
        <v>111</v>
      </c>
      <c r="F80" s="100"/>
      <c r="G80" s="101">
        <v>2000</v>
      </c>
      <c r="H80" s="102">
        <f t="shared" ref="H80:H97" si="9">(F80*G80)</f>
        <v>0</v>
      </c>
      <c r="I80" s="167"/>
      <c r="J80" s="168"/>
      <c r="K80" s="169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45" t="s">
        <v>113</v>
      </c>
      <c r="B81" s="246"/>
      <c r="C81" s="246"/>
      <c r="D81" s="246"/>
      <c r="E81" s="23" t="s">
        <v>111</v>
      </c>
      <c r="F81" s="70"/>
      <c r="G81" s="73">
        <v>7000</v>
      </c>
      <c r="H81" s="105">
        <f t="shared" si="9"/>
        <v>0</v>
      </c>
      <c r="I81" s="103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43" t="s">
        <v>114</v>
      </c>
      <c r="B82" s="244"/>
      <c r="C82" s="244"/>
      <c r="D82" s="244"/>
      <c r="E82" s="99" t="s">
        <v>111</v>
      </c>
      <c r="F82" s="100"/>
      <c r="G82" s="101">
        <v>15200</v>
      </c>
      <c r="H82" s="102">
        <f t="shared" si="9"/>
        <v>0</v>
      </c>
      <c r="I82" s="167"/>
      <c r="J82" s="168"/>
      <c r="K82" s="169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3" t="s">
        <v>115</v>
      </c>
      <c r="B83" s="244"/>
      <c r="C83" s="244"/>
      <c r="D83" s="244"/>
      <c r="E83" s="99" t="s">
        <v>111</v>
      </c>
      <c r="F83" s="100"/>
      <c r="G83" s="101">
        <v>2200</v>
      </c>
      <c r="H83" s="102">
        <f t="shared" si="9"/>
        <v>0</v>
      </c>
      <c r="I83" s="167"/>
      <c r="J83" s="168"/>
      <c r="K83" s="169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9"/>
        <v>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9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9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9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34" t="s">
        <v>120</v>
      </c>
      <c r="B88" s="235"/>
      <c r="C88" s="235"/>
      <c r="D88" s="235"/>
      <c r="E88" s="164" t="s">
        <v>111</v>
      </c>
      <c r="F88" s="74"/>
      <c r="G88" s="80">
        <v>2700</v>
      </c>
      <c r="H88" s="95">
        <f t="shared" si="9"/>
        <v>0</v>
      </c>
      <c r="I88" s="104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9"/>
        <v>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9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9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9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9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9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9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9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9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>
        <v>0</v>
      </c>
      <c r="G98" s="80">
        <v>383.5</v>
      </c>
      <c r="H98" s="156">
        <f>(F98*G98)</f>
        <v>0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6" customHeight="1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0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0</v>
      </c>
      <c r="I103" s="128" t="e">
        <f>(M109*100)/H103</f>
        <v>#DIV/0!</v>
      </c>
      <c r="J103" s="40">
        <f>H103-M109</f>
        <v>0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0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0.06</v>
      </c>
      <c r="H106" s="40">
        <f>H104*G106</f>
        <v>0</v>
      </c>
      <c r="I106" s="136">
        <f>H106+[1]Part.2!H84+[1]Part.3!H84+[1]Part.4!H84+[1]part.5!H84+[1]traslado!H66</f>
        <v>210.2120447963801</v>
      </c>
      <c r="J106" s="133" t="s">
        <v>139</v>
      </c>
      <c r="K106" s="60">
        <f>+H17</f>
        <v>0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0</v>
      </c>
      <c r="I107" s="133"/>
      <c r="J107" s="133" t="s">
        <v>141</v>
      </c>
      <c r="K107" s="60">
        <f>H44</f>
        <v>0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0.1</v>
      </c>
      <c r="H108" s="40">
        <f>H107*G108</f>
        <v>0</v>
      </c>
      <c r="I108" s="133"/>
      <c r="J108" s="133" t="s">
        <v>143</v>
      </c>
      <c r="K108" s="60">
        <f>H76-H56</f>
        <v>0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0</v>
      </c>
      <c r="I109" s="40"/>
      <c r="J109" s="139" t="s">
        <v>74</v>
      </c>
      <c r="K109" s="60">
        <f>SUM(K106:K108)</f>
        <v>0</v>
      </c>
      <c r="L109" s="140">
        <f>H109-H108-(H103*0.7)-K109</f>
        <v>0</v>
      </c>
      <c r="M109" s="136">
        <f>0.32*L109</f>
        <v>0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 t="s">
        <v>151</v>
      </c>
      <c r="G110" s="141"/>
      <c r="H110" s="154">
        <f>'TERMOGRAFIA MAT.'!H110</f>
        <v>105947.52408943999</v>
      </c>
      <c r="I110" s="142" t="s">
        <v>146</v>
      </c>
      <c r="J110" s="143" t="e">
        <f>H109/H102</f>
        <v>#DIV/0!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 t="s">
        <v>152</v>
      </c>
      <c r="G111" s="144"/>
      <c r="H111" s="155">
        <f>H109+H110</f>
        <v>105947.52408943999</v>
      </c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15.75" x14ac:dyDescent="0.25">
      <c r="A112" s="18"/>
      <c r="B112" s="18" t="s">
        <v>147</v>
      </c>
      <c r="C112" s="18"/>
      <c r="D112" s="18"/>
      <c r="E112" s="18"/>
      <c r="F112" s="58"/>
      <c r="G112" s="146"/>
      <c r="H112" s="36"/>
      <c r="I112" s="58"/>
      <c r="J112" s="58"/>
      <c r="K112" s="58"/>
      <c r="L112" s="58"/>
      <c r="M112" s="36"/>
      <c r="N112" s="5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1:24" ht="15.75" x14ac:dyDescent="0.25">
      <c r="A113" s="18"/>
      <c r="B113" s="26" t="s">
        <v>148</v>
      </c>
      <c r="C113" s="26" t="s">
        <v>149</v>
      </c>
      <c r="D113" s="147" t="s">
        <v>150</v>
      </c>
      <c r="E113" s="86"/>
      <c r="F113" s="148"/>
      <c r="G113" s="149"/>
      <c r="H113" s="36"/>
      <c r="I113" s="58"/>
      <c r="J113" s="58"/>
      <c r="K113" s="58"/>
      <c r="L113" s="58"/>
      <c r="M113" s="58"/>
      <c r="N113" s="5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15.75" x14ac:dyDescent="0.25">
      <c r="A114" s="18"/>
      <c r="B114" s="150">
        <v>0.27500000000000002</v>
      </c>
      <c r="C114" s="150">
        <v>0.05</v>
      </c>
      <c r="D114" s="150">
        <f>B114+C114</f>
        <v>0.32500000000000001</v>
      </c>
      <c r="E114" s="18"/>
      <c r="F114" s="64"/>
      <c r="G114" s="151"/>
      <c r="H114" s="149"/>
      <c r="I114" s="30"/>
      <c r="J114" s="58"/>
      <c r="K114" s="58"/>
      <c r="L114" s="58"/>
      <c r="M114" s="58"/>
      <c r="N114" s="5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1:24" ht="15.75" x14ac:dyDescent="0.25">
      <c r="A115" s="18"/>
      <c r="B115" s="18"/>
      <c r="C115" s="18"/>
      <c r="D115" s="18"/>
      <c r="E115" s="18"/>
      <c r="F115" s="64"/>
      <c r="G115" s="151"/>
      <c r="H115" s="149"/>
      <c r="I115" s="152"/>
      <c r="J115" s="58"/>
      <c r="K115" s="58"/>
      <c r="L115" s="58"/>
      <c r="M115" s="58"/>
      <c r="N115" s="5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ht="15.75" x14ac:dyDescent="0.25">
      <c r="A116" s="18"/>
      <c r="B116" s="18"/>
      <c r="C116" s="18"/>
      <c r="D116" s="18"/>
      <c r="E116" s="18"/>
      <c r="F116" s="64"/>
      <c r="G116" s="129"/>
      <c r="H116" s="129"/>
      <c r="I116" s="58"/>
      <c r="J116" s="58"/>
      <c r="K116" s="58"/>
      <c r="L116" s="58"/>
      <c r="M116" s="58"/>
      <c r="N116" s="5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15.75" x14ac:dyDescent="0.25">
      <c r="A117" s="18"/>
      <c r="B117" s="18"/>
      <c r="C117" s="18"/>
      <c r="D117" s="18"/>
      <c r="E117" s="18"/>
      <c r="F117" s="64"/>
      <c r="G117" s="2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</sheetData>
  <mergeCells count="83">
    <mergeCell ref="N101:N102"/>
    <mergeCell ref="A98:D98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J68:K68"/>
    <mergeCell ref="A86:D86"/>
    <mergeCell ref="A70:D70"/>
    <mergeCell ref="A73:D73"/>
    <mergeCell ref="A74:D74"/>
    <mergeCell ref="A78:D78"/>
    <mergeCell ref="A79:D79"/>
    <mergeCell ref="A80:D80"/>
    <mergeCell ref="A81:D81"/>
    <mergeCell ref="A82:D82"/>
    <mergeCell ref="A83:D83"/>
    <mergeCell ref="A84:D84"/>
    <mergeCell ref="A85:D85"/>
    <mergeCell ref="A69:D69"/>
    <mergeCell ref="A52:D52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34:D34"/>
    <mergeCell ref="A35:D35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29:D29"/>
    <mergeCell ref="A30:D30"/>
    <mergeCell ref="A31:D31"/>
    <mergeCell ref="A32:D32"/>
    <mergeCell ref="A33:D33"/>
    <mergeCell ref="V19:X19"/>
    <mergeCell ref="A20:D20"/>
    <mergeCell ref="A21:D21"/>
    <mergeCell ref="A22:D22"/>
    <mergeCell ref="A23:D23"/>
    <mergeCell ref="O19:U19"/>
    <mergeCell ref="A1:H1"/>
    <mergeCell ref="A2:H2"/>
    <mergeCell ref="A8:D8"/>
    <mergeCell ref="A9:D9"/>
    <mergeCell ref="A10:D10"/>
    <mergeCell ref="A11:D11"/>
    <mergeCell ref="B5:J5"/>
    <mergeCell ref="I101:I102"/>
    <mergeCell ref="J101:J102"/>
    <mergeCell ref="K101:K102"/>
    <mergeCell ref="A24:D24"/>
    <mergeCell ref="A12:D12"/>
    <mergeCell ref="A13:D13"/>
    <mergeCell ref="A14:D14"/>
    <mergeCell ref="A15:D15"/>
    <mergeCell ref="A16:D16"/>
    <mergeCell ref="A36:D36"/>
    <mergeCell ref="A25:D25"/>
    <mergeCell ref="A26:D26"/>
    <mergeCell ref="A27:D27"/>
    <mergeCell ref="A28:D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"/>
  <sheetViews>
    <sheetView topLeftCell="A92" workbookViewId="0">
      <selection activeCell="F35" sqref="F35"/>
    </sheetView>
  </sheetViews>
  <sheetFormatPr baseColWidth="10" defaultRowHeight="15" x14ac:dyDescent="0.25"/>
  <sheetData>
    <row r="1" spans="1:24" ht="18.75" x14ac:dyDescent="0.3">
      <c r="A1" s="268" t="s">
        <v>9</v>
      </c>
      <c r="B1" s="268"/>
      <c r="C1" s="268"/>
      <c r="D1" s="268"/>
      <c r="E1" s="268"/>
      <c r="F1" s="268"/>
      <c r="G1" s="268"/>
      <c r="H1" s="268"/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18.75" x14ac:dyDescent="0.3">
      <c r="A2" s="268" t="s">
        <v>10</v>
      </c>
      <c r="B2" s="268"/>
      <c r="C2" s="268"/>
      <c r="D2" s="268"/>
      <c r="E2" s="268"/>
      <c r="F2" s="268"/>
      <c r="G2" s="268"/>
      <c r="H2" s="268"/>
      <c r="I2" s="17"/>
      <c r="J2" s="18"/>
      <c r="K2" s="17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5.75" x14ac:dyDescent="0.25">
      <c r="A3" s="19" t="s">
        <v>11</v>
      </c>
      <c r="B3" s="18"/>
      <c r="C3" s="18"/>
      <c r="D3" s="18"/>
      <c r="E3" s="18"/>
      <c r="F3" s="18"/>
      <c r="G3" s="18"/>
      <c r="H3" s="18"/>
      <c r="I3" s="18"/>
      <c r="J3" s="18"/>
      <c r="K3" s="17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4" ht="15.75" x14ac:dyDescent="0.25">
      <c r="A4" s="20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7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4" ht="15.75" x14ac:dyDescent="0.25">
      <c r="A5" s="20" t="s">
        <v>13</v>
      </c>
      <c r="B5" s="18"/>
      <c r="C5" s="18"/>
      <c r="D5" s="18"/>
      <c r="E5" s="18"/>
      <c r="F5" s="18"/>
      <c r="G5" s="18"/>
      <c r="H5" s="18"/>
      <c r="I5" s="18"/>
      <c r="J5" s="18"/>
      <c r="K5" s="17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ht="15.75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7"/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ht="15.75" x14ac:dyDescent="0.25">
      <c r="A7" s="21" t="s">
        <v>14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spans="1:24" ht="15.75" x14ac:dyDescent="0.25">
      <c r="A8" s="269" t="s">
        <v>15</v>
      </c>
      <c r="B8" s="269"/>
      <c r="C8" s="269"/>
      <c r="D8" s="269"/>
      <c r="E8" s="163" t="s">
        <v>16</v>
      </c>
      <c r="F8" s="163" t="s">
        <v>17</v>
      </c>
      <c r="G8" s="163" t="s">
        <v>18</v>
      </c>
      <c r="H8" s="163" t="s">
        <v>3</v>
      </c>
      <c r="I8" s="2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1:24" ht="15.75" x14ac:dyDescent="0.25">
      <c r="A9" s="284"/>
      <c r="B9" s="285"/>
      <c r="C9" s="285"/>
      <c r="D9" s="286"/>
      <c r="E9" s="23" t="s">
        <v>19</v>
      </c>
      <c r="F9" s="23">
        <v>0</v>
      </c>
      <c r="G9" s="24"/>
      <c r="H9" s="25">
        <f>G9*F9</f>
        <v>0</v>
      </c>
      <c r="I9" s="17"/>
      <c r="J9" s="18" t="s">
        <v>20</v>
      </c>
      <c r="K9" s="26"/>
      <c r="L9" s="26"/>
      <c r="M9" s="26"/>
      <c r="N9" s="26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4" ht="15.75" x14ac:dyDescent="0.25">
      <c r="A10" s="234"/>
      <c r="B10" s="234"/>
      <c r="C10" s="234"/>
      <c r="D10" s="234"/>
      <c r="E10" s="23" t="s">
        <v>19</v>
      </c>
      <c r="F10" s="164">
        <v>0</v>
      </c>
      <c r="G10" s="25"/>
      <c r="H10" s="25">
        <f t="shared" ref="H10:H15" si="0">G10*F10</f>
        <v>0</v>
      </c>
      <c r="I10" s="27"/>
      <c r="J10" s="18" t="s">
        <v>21</v>
      </c>
      <c r="K10" s="26"/>
      <c r="L10" s="26"/>
      <c r="M10" s="26"/>
      <c r="N10" s="26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1:24" ht="15.75" x14ac:dyDescent="0.25">
      <c r="A11" s="236"/>
      <c r="B11" s="237"/>
      <c r="C11" s="237"/>
      <c r="D11" s="238"/>
      <c r="E11" s="23" t="s">
        <v>19</v>
      </c>
      <c r="F11" s="164">
        <v>1</v>
      </c>
      <c r="G11" s="25"/>
      <c r="H11" s="25">
        <f t="shared" si="0"/>
        <v>0</v>
      </c>
      <c r="I11" s="27"/>
      <c r="J11" s="18" t="s">
        <v>22</v>
      </c>
      <c r="K11" s="26"/>
      <c r="L11" s="26"/>
      <c r="M11" s="26"/>
      <c r="N11" s="26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1:24" ht="15.75" x14ac:dyDescent="0.25">
      <c r="A12" s="236"/>
      <c r="B12" s="237"/>
      <c r="C12" s="237"/>
      <c r="D12" s="238"/>
      <c r="E12" s="23" t="s">
        <v>19</v>
      </c>
      <c r="F12" s="164">
        <v>1</v>
      </c>
      <c r="G12" s="25"/>
      <c r="H12" s="25">
        <f t="shared" si="0"/>
        <v>0</v>
      </c>
      <c r="I12" s="27"/>
      <c r="J12" s="18"/>
      <c r="K12" s="26"/>
      <c r="L12" s="26"/>
      <c r="M12" s="26"/>
      <c r="N12" s="26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ht="15.75" x14ac:dyDescent="0.25">
      <c r="A13" s="236"/>
      <c r="B13" s="237"/>
      <c r="C13" s="237"/>
      <c r="D13" s="238"/>
      <c r="E13" s="23" t="s">
        <v>19</v>
      </c>
      <c r="F13" s="164">
        <v>1</v>
      </c>
      <c r="G13" s="25"/>
      <c r="H13" s="25">
        <f t="shared" si="0"/>
        <v>0</v>
      </c>
      <c r="I13" s="27"/>
      <c r="J13" s="18"/>
      <c r="K13" s="26"/>
      <c r="L13" s="26"/>
      <c r="M13" s="26"/>
      <c r="N13" s="26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15.75" x14ac:dyDescent="0.25">
      <c r="A14" s="236"/>
      <c r="B14" s="237"/>
      <c r="C14" s="237"/>
      <c r="D14" s="238"/>
      <c r="E14" s="23" t="s">
        <v>19</v>
      </c>
      <c r="F14" s="164">
        <v>1</v>
      </c>
      <c r="G14" s="25"/>
      <c r="H14" s="25">
        <f t="shared" si="0"/>
        <v>0</v>
      </c>
      <c r="I14" s="27"/>
      <c r="J14" s="18"/>
      <c r="K14" s="26"/>
      <c r="L14" s="26"/>
      <c r="M14" s="26"/>
      <c r="N14" s="26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4" ht="15.75" x14ac:dyDescent="0.25">
      <c r="A15" s="236"/>
      <c r="B15" s="237"/>
      <c r="C15" s="237"/>
      <c r="D15" s="238"/>
      <c r="E15" s="23" t="s">
        <v>19</v>
      </c>
      <c r="F15" s="164">
        <v>1</v>
      </c>
      <c r="G15" s="25"/>
      <c r="H15" s="25">
        <f t="shared" si="0"/>
        <v>0</v>
      </c>
      <c r="I15" s="27"/>
      <c r="J15" s="18"/>
      <c r="K15" s="26"/>
      <c r="L15" s="26"/>
      <c r="M15" s="26"/>
      <c r="N15" s="26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4" ht="15.75" x14ac:dyDescent="0.25">
      <c r="A16" s="236"/>
      <c r="B16" s="237"/>
      <c r="C16" s="237"/>
      <c r="D16" s="238"/>
      <c r="E16" s="23" t="s">
        <v>19</v>
      </c>
      <c r="F16" s="164">
        <v>1</v>
      </c>
      <c r="G16" s="25"/>
      <c r="H16" s="25">
        <f>G16*F16</f>
        <v>0</v>
      </c>
      <c r="I16" s="27"/>
      <c r="J16" s="18"/>
      <c r="K16" s="26"/>
      <c r="L16" s="26"/>
      <c r="M16" s="26"/>
      <c r="N16" s="26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15.75" x14ac:dyDescent="0.25">
      <c r="A17" s="18"/>
      <c r="B17" s="18"/>
      <c r="C17" s="18"/>
      <c r="D17" s="18"/>
      <c r="E17" s="18"/>
      <c r="F17" s="18"/>
      <c r="G17" s="28" t="s">
        <v>23</v>
      </c>
      <c r="H17" s="28">
        <f>SUM(H9:H16)</f>
        <v>0</v>
      </c>
      <c r="I17" s="27"/>
      <c r="J17" s="19"/>
      <c r="K17" s="26"/>
      <c r="L17" s="26"/>
      <c r="M17" s="29"/>
      <c r="N17" s="26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5.75" x14ac:dyDescent="0.25">
      <c r="A18" s="30"/>
      <c r="B18" s="18"/>
      <c r="C18" s="18"/>
      <c r="D18" s="18"/>
      <c r="E18" s="18"/>
      <c r="F18" s="18"/>
      <c r="G18" s="18"/>
      <c r="H18" s="31"/>
      <c r="I18" s="31"/>
      <c r="J18" s="32"/>
      <c r="K18" s="32"/>
      <c r="L18" s="18"/>
      <c r="M18" s="33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5.75" x14ac:dyDescent="0.25">
      <c r="A19" s="21" t="s">
        <v>24</v>
      </c>
      <c r="B19" s="34"/>
      <c r="C19" s="34"/>
      <c r="D19" s="34"/>
      <c r="E19" s="34"/>
      <c r="F19" s="34"/>
      <c r="G19" s="35"/>
      <c r="H19" s="36"/>
      <c r="I19" s="36"/>
      <c r="J19" s="37"/>
      <c r="K19" s="34"/>
      <c r="L19" s="34"/>
      <c r="M19" s="34"/>
      <c r="N19" s="34"/>
      <c r="O19" s="267" t="s">
        <v>25</v>
      </c>
      <c r="P19" s="264"/>
      <c r="Q19" s="264"/>
      <c r="R19" s="264"/>
      <c r="S19" s="264"/>
      <c r="T19" s="264"/>
      <c r="U19" s="265"/>
      <c r="V19" s="264" t="s">
        <v>26</v>
      </c>
      <c r="W19" s="264"/>
      <c r="X19" s="265"/>
    </row>
    <row r="20" spans="1:24" ht="15.75" x14ac:dyDescent="0.25">
      <c r="A20" s="266" t="s">
        <v>27</v>
      </c>
      <c r="B20" s="266"/>
      <c r="C20" s="266"/>
      <c r="D20" s="266"/>
      <c r="E20" s="162" t="s">
        <v>16</v>
      </c>
      <c r="F20" s="162" t="s">
        <v>17</v>
      </c>
      <c r="G20" s="162" t="s">
        <v>18</v>
      </c>
      <c r="H20" s="162" t="s">
        <v>3</v>
      </c>
      <c r="I20" s="162" t="s">
        <v>17</v>
      </c>
      <c r="J20" s="162" t="s">
        <v>28</v>
      </c>
      <c r="K20" s="162" t="s">
        <v>3</v>
      </c>
      <c r="L20" s="162" t="s">
        <v>17</v>
      </c>
      <c r="M20" s="162" t="s">
        <v>29</v>
      </c>
      <c r="N20" s="162" t="s">
        <v>3</v>
      </c>
      <c r="O20" s="162" t="s">
        <v>30</v>
      </c>
      <c r="P20" s="162" t="s">
        <v>31</v>
      </c>
      <c r="Q20" s="162" t="s">
        <v>32</v>
      </c>
      <c r="R20" s="162" t="s">
        <v>33</v>
      </c>
      <c r="S20" s="162" t="s">
        <v>34</v>
      </c>
      <c r="T20" s="162" t="s">
        <v>35</v>
      </c>
      <c r="U20" s="162" t="s">
        <v>36</v>
      </c>
      <c r="V20" s="38" t="s">
        <v>37</v>
      </c>
      <c r="W20" s="38" t="s">
        <v>36</v>
      </c>
      <c r="X20" s="38" t="s">
        <v>38</v>
      </c>
    </row>
    <row r="21" spans="1:24" ht="15.75" x14ac:dyDescent="0.25">
      <c r="A21" s="262" t="s">
        <v>39</v>
      </c>
      <c r="B21" s="262"/>
      <c r="C21" s="262"/>
      <c r="D21" s="262"/>
      <c r="E21" s="160" t="s">
        <v>40</v>
      </c>
      <c r="F21" s="160">
        <f>V21</f>
        <v>0</v>
      </c>
      <c r="G21" s="39">
        <v>185.69</v>
      </c>
      <c r="H21" s="39">
        <f>F21*G21</f>
        <v>0</v>
      </c>
      <c r="I21" s="160">
        <f>W21</f>
        <v>0</v>
      </c>
      <c r="J21" s="40">
        <f>G21*1.5</f>
        <v>278.53499999999997</v>
      </c>
      <c r="K21" s="40">
        <f>I21*J21</f>
        <v>0</v>
      </c>
      <c r="L21" s="41">
        <f>X21</f>
        <v>0</v>
      </c>
      <c r="M21" s="40">
        <f>G21*2.25</f>
        <v>417.80250000000001</v>
      </c>
      <c r="N21" s="40">
        <f>L21*M21</f>
        <v>0</v>
      </c>
      <c r="O21" s="42"/>
      <c r="P21" s="42"/>
      <c r="Q21" s="42"/>
      <c r="R21" s="42"/>
      <c r="S21" s="42"/>
      <c r="T21" s="42"/>
      <c r="U21" s="42"/>
      <c r="V21" s="42">
        <f>SUM(O21:T21)</f>
        <v>0</v>
      </c>
      <c r="W21" s="42"/>
      <c r="X21" s="42"/>
    </row>
    <row r="22" spans="1:24" ht="15.75" x14ac:dyDescent="0.25">
      <c r="A22" s="262" t="s">
        <v>41</v>
      </c>
      <c r="B22" s="262"/>
      <c r="C22" s="262"/>
      <c r="D22" s="262"/>
      <c r="E22" s="160" t="s">
        <v>40</v>
      </c>
      <c r="F22" s="160">
        <f>V22</f>
        <v>0</v>
      </c>
      <c r="G22" s="39">
        <v>177.79</v>
      </c>
      <c r="H22" s="39">
        <f>F22*G22</f>
        <v>0</v>
      </c>
      <c r="I22" s="160">
        <f>W22</f>
        <v>0</v>
      </c>
      <c r="J22" s="40">
        <f t="shared" ref="J22:J38" si="1">G22*1.5</f>
        <v>266.685</v>
      </c>
      <c r="K22" s="40">
        <f>I22*J22</f>
        <v>0</v>
      </c>
      <c r="L22" s="41">
        <f>X22</f>
        <v>0</v>
      </c>
      <c r="M22" s="40">
        <f t="shared" ref="M22:M38" si="2">G22*2.25</f>
        <v>400.02749999999997</v>
      </c>
      <c r="N22" s="40">
        <f>L22*M22</f>
        <v>0</v>
      </c>
      <c r="O22" s="42"/>
      <c r="P22" s="42"/>
      <c r="Q22" s="42"/>
      <c r="R22" s="42"/>
      <c r="S22" s="42"/>
      <c r="T22" s="42"/>
      <c r="U22" s="42"/>
      <c r="V22" s="42">
        <f>SUM(O22:T22)</f>
        <v>0</v>
      </c>
      <c r="W22" s="42"/>
      <c r="X22" s="42"/>
    </row>
    <row r="23" spans="1:24" ht="15.75" x14ac:dyDescent="0.25">
      <c r="A23" s="262" t="s">
        <v>42</v>
      </c>
      <c r="B23" s="262"/>
      <c r="C23" s="262"/>
      <c r="D23" s="262"/>
      <c r="E23" s="160" t="s">
        <v>40</v>
      </c>
      <c r="F23" s="160">
        <f t="shared" ref="F23:F43" si="3">V23</f>
        <v>0</v>
      </c>
      <c r="G23" s="39">
        <v>185.69</v>
      </c>
      <c r="H23" s="39">
        <f t="shared" ref="H23:H39" si="4">F23*G23</f>
        <v>0</v>
      </c>
      <c r="I23" s="160">
        <f t="shared" ref="I23:I41" si="5">W23</f>
        <v>0</v>
      </c>
      <c r="J23" s="40">
        <f t="shared" si="1"/>
        <v>278.53499999999997</v>
      </c>
      <c r="K23" s="40">
        <f t="shared" ref="K23:K39" si="6">I23*J23</f>
        <v>0</v>
      </c>
      <c r="L23" s="41">
        <f t="shared" ref="L23:L42" si="7">X23</f>
        <v>0</v>
      </c>
      <c r="M23" s="40">
        <f t="shared" si="2"/>
        <v>417.80250000000001</v>
      </c>
      <c r="N23" s="40">
        <f t="shared" ref="N23:N42" si="8">L23*M23</f>
        <v>0</v>
      </c>
      <c r="O23" s="42"/>
      <c r="P23" s="42"/>
      <c r="Q23" s="42"/>
      <c r="R23" s="42"/>
      <c r="S23" s="42"/>
      <c r="T23" s="42"/>
      <c r="U23" s="42"/>
      <c r="V23" s="42">
        <f t="shared" ref="V23:V41" si="9">SUM(O23:T23)</f>
        <v>0</v>
      </c>
      <c r="W23" s="42"/>
      <c r="X23" s="42"/>
    </row>
    <row r="24" spans="1:24" ht="15.75" x14ac:dyDescent="0.25">
      <c r="A24" s="251" t="s">
        <v>43</v>
      </c>
      <c r="B24" s="252"/>
      <c r="C24" s="252"/>
      <c r="D24" s="253"/>
      <c r="E24" s="161" t="s">
        <v>40</v>
      </c>
      <c r="F24" s="161">
        <v>0</v>
      </c>
      <c r="G24" s="45">
        <v>148.16</v>
      </c>
      <c r="H24" s="46">
        <f t="shared" si="4"/>
        <v>0</v>
      </c>
      <c r="I24" s="161">
        <f t="shared" si="5"/>
        <v>0</v>
      </c>
      <c r="J24" s="47">
        <f t="shared" si="1"/>
        <v>222.24</v>
      </c>
      <c r="K24" s="47">
        <f t="shared" si="6"/>
        <v>0</v>
      </c>
      <c r="L24" s="45">
        <f t="shared" si="7"/>
        <v>0</v>
      </c>
      <c r="M24" s="47">
        <f t="shared" si="2"/>
        <v>333.36</v>
      </c>
      <c r="N24" s="47">
        <f t="shared" si="8"/>
        <v>0</v>
      </c>
      <c r="O24" s="48">
        <v>8</v>
      </c>
      <c r="P24" s="48">
        <v>8</v>
      </c>
      <c r="Q24" s="48">
        <v>8</v>
      </c>
      <c r="R24" s="48">
        <v>8</v>
      </c>
      <c r="S24" s="48">
        <v>8</v>
      </c>
      <c r="T24" s="48"/>
      <c r="U24" s="48"/>
      <c r="V24" s="48">
        <f t="shared" si="9"/>
        <v>40</v>
      </c>
      <c r="W24" s="48"/>
      <c r="X24" s="48"/>
    </row>
    <row r="25" spans="1:24" ht="15.75" x14ac:dyDescent="0.25">
      <c r="A25" s="254" t="s">
        <v>45</v>
      </c>
      <c r="B25" s="255"/>
      <c r="C25" s="255"/>
      <c r="D25" s="256"/>
      <c r="E25" s="160" t="s">
        <v>40</v>
      </c>
      <c r="F25" s="160">
        <v>0</v>
      </c>
      <c r="G25" s="41">
        <v>136.31</v>
      </c>
      <c r="H25" s="39">
        <f t="shared" si="4"/>
        <v>0</v>
      </c>
      <c r="I25" s="160">
        <f t="shared" si="5"/>
        <v>0</v>
      </c>
      <c r="J25" s="40">
        <f t="shared" si="1"/>
        <v>204.465</v>
      </c>
      <c r="K25" s="40">
        <f t="shared" si="6"/>
        <v>0</v>
      </c>
      <c r="L25" s="41">
        <f t="shared" si="7"/>
        <v>0</v>
      </c>
      <c r="M25" s="40">
        <f t="shared" si="2"/>
        <v>306.69749999999999</v>
      </c>
      <c r="N25" s="40">
        <f t="shared" si="8"/>
        <v>0</v>
      </c>
      <c r="O25" s="42"/>
      <c r="P25" s="42"/>
      <c r="Q25" s="42"/>
      <c r="R25" s="42"/>
      <c r="S25" s="42"/>
      <c r="T25" s="42"/>
      <c r="U25" s="42"/>
      <c r="V25" s="42">
        <f t="shared" si="9"/>
        <v>0</v>
      </c>
      <c r="W25" s="42"/>
      <c r="X25" s="42"/>
    </row>
    <row r="26" spans="1:24" ht="15.75" x14ac:dyDescent="0.25">
      <c r="A26" s="254" t="s">
        <v>46</v>
      </c>
      <c r="B26" s="255"/>
      <c r="C26" s="255"/>
      <c r="D26" s="256"/>
      <c r="E26" s="160" t="s">
        <v>40</v>
      </c>
      <c r="F26" s="160">
        <f t="shared" si="3"/>
        <v>0</v>
      </c>
      <c r="G26" s="41">
        <v>136.31</v>
      </c>
      <c r="H26" s="39">
        <f t="shared" si="4"/>
        <v>0</v>
      </c>
      <c r="I26" s="160">
        <f t="shared" si="5"/>
        <v>0</v>
      </c>
      <c r="J26" s="40">
        <f t="shared" si="1"/>
        <v>204.465</v>
      </c>
      <c r="K26" s="40">
        <f t="shared" si="6"/>
        <v>0</v>
      </c>
      <c r="L26" s="41">
        <f t="shared" si="7"/>
        <v>0</v>
      </c>
      <c r="M26" s="40">
        <f t="shared" si="2"/>
        <v>306.69749999999999</v>
      </c>
      <c r="N26" s="40">
        <f t="shared" si="8"/>
        <v>0</v>
      </c>
      <c r="O26" s="42"/>
      <c r="P26" s="42"/>
      <c r="Q26" s="42"/>
      <c r="R26" s="42"/>
      <c r="S26" s="42"/>
      <c r="T26" s="42"/>
      <c r="U26" s="42"/>
      <c r="V26" s="42">
        <f t="shared" si="9"/>
        <v>0</v>
      </c>
      <c r="W26" s="42"/>
      <c r="X26" s="42"/>
    </row>
    <row r="27" spans="1:24" ht="15.75" x14ac:dyDescent="0.25">
      <c r="A27" s="251" t="s">
        <v>47</v>
      </c>
      <c r="B27" s="252"/>
      <c r="C27" s="252"/>
      <c r="D27" s="253"/>
      <c r="E27" s="161" t="s">
        <v>40</v>
      </c>
      <c r="F27" s="161">
        <v>0</v>
      </c>
      <c r="G27" s="45">
        <v>126.43</v>
      </c>
      <c r="H27" s="46">
        <f t="shared" si="4"/>
        <v>0</v>
      </c>
      <c r="I27" s="161">
        <f t="shared" si="5"/>
        <v>0</v>
      </c>
      <c r="J27" s="47">
        <f t="shared" si="1"/>
        <v>189.64500000000001</v>
      </c>
      <c r="K27" s="47">
        <f t="shared" si="6"/>
        <v>0</v>
      </c>
      <c r="L27" s="45">
        <f t="shared" si="7"/>
        <v>0</v>
      </c>
      <c r="M27" s="47">
        <f t="shared" si="2"/>
        <v>284.46750000000003</v>
      </c>
      <c r="N27" s="47">
        <f t="shared" si="8"/>
        <v>0</v>
      </c>
      <c r="O27" s="48">
        <v>16</v>
      </c>
      <c r="P27" s="48">
        <v>16</v>
      </c>
      <c r="Q27" s="48">
        <v>16</v>
      </c>
      <c r="R27" s="48">
        <v>8</v>
      </c>
      <c r="S27" s="48">
        <v>8</v>
      </c>
      <c r="T27" s="48">
        <v>5</v>
      </c>
      <c r="U27" s="48"/>
      <c r="V27" s="48">
        <f t="shared" si="9"/>
        <v>69</v>
      </c>
      <c r="W27" s="48"/>
      <c r="X27" s="48"/>
    </row>
    <row r="28" spans="1:24" ht="15.75" x14ac:dyDescent="0.25">
      <c r="A28" s="251" t="s">
        <v>47</v>
      </c>
      <c r="B28" s="252"/>
      <c r="C28" s="252"/>
      <c r="D28" s="253"/>
      <c r="E28" s="161" t="s">
        <v>40</v>
      </c>
      <c r="F28" s="161">
        <v>0</v>
      </c>
      <c r="G28" s="45">
        <v>126.43</v>
      </c>
      <c r="H28" s="46">
        <f t="shared" si="4"/>
        <v>0</v>
      </c>
      <c r="I28" s="161">
        <f t="shared" si="5"/>
        <v>0</v>
      </c>
      <c r="J28" s="47">
        <f t="shared" si="1"/>
        <v>189.64500000000001</v>
      </c>
      <c r="K28" s="47">
        <f t="shared" si="6"/>
        <v>0</v>
      </c>
      <c r="L28" s="45">
        <f t="shared" si="7"/>
        <v>0</v>
      </c>
      <c r="M28" s="47">
        <f t="shared" si="2"/>
        <v>284.46750000000003</v>
      </c>
      <c r="N28" s="47">
        <f t="shared" si="8"/>
        <v>0</v>
      </c>
      <c r="O28" s="48">
        <v>16</v>
      </c>
      <c r="P28" s="48">
        <v>16</v>
      </c>
      <c r="Q28" s="48">
        <v>16</v>
      </c>
      <c r="R28" s="48">
        <v>8</v>
      </c>
      <c r="S28" s="48">
        <v>8</v>
      </c>
      <c r="T28" s="48">
        <v>5</v>
      </c>
      <c r="U28" s="48"/>
      <c r="V28" s="48">
        <f t="shared" si="9"/>
        <v>69</v>
      </c>
      <c r="W28" s="48"/>
      <c r="X28" s="48"/>
    </row>
    <row r="29" spans="1:24" ht="15.75" x14ac:dyDescent="0.25">
      <c r="A29" s="262" t="s">
        <v>49</v>
      </c>
      <c r="B29" s="262"/>
      <c r="C29" s="262"/>
      <c r="D29" s="262"/>
      <c r="E29" s="160" t="s">
        <v>40</v>
      </c>
      <c r="F29" s="160">
        <v>0</v>
      </c>
      <c r="G29" s="41">
        <v>110.63</v>
      </c>
      <c r="H29" s="39">
        <f t="shared" si="4"/>
        <v>0</v>
      </c>
      <c r="I29" s="160">
        <f t="shared" si="5"/>
        <v>0</v>
      </c>
      <c r="J29" s="40">
        <f t="shared" si="1"/>
        <v>165.94499999999999</v>
      </c>
      <c r="K29" s="40">
        <f t="shared" si="6"/>
        <v>0</v>
      </c>
      <c r="L29" s="41">
        <f t="shared" si="7"/>
        <v>0</v>
      </c>
      <c r="M29" s="40">
        <f t="shared" si="2"/>
        <v>248.91749999999999</v>
      </c>
      <c r="N29" s="40">
        <f t="shared" si="8"/>
        <v>0</v>
      </c>
      <c r="O29" s="42"/>
      <c r="P29" s="42"/>
      <c r="Q29" s="42"/>
      <c r="R29" s="42"/>
      <c r="S29" s="42"/>
      <c r="T29" s="51"/>
      <c r="U29" s="42"/>
      <c r="V29" s="42">
        <f t="shared" si="9"/>
        <v>0</v>
      </c>
      <c r="W29" s="42"/>
      <c r="X29" s="42"/>
    </row>
    <row r="30" spans="1:24" ht="15.75" x14ac:dyDescent="0.25">
      <c r="A30" s="254" t="s">
        <v>50</v>
      </c>
      <c r="B30" s="255"/>
      <c r="C30" s="255"/>
      <c r="D30" s="256"/>
      <c r="E30" s="160" t="s">
        <v>40</v>
      </c>
      <c r="F30" s="160">
        <f t="shared" si="3"/>
        <v>0</v>
      </c>
      <c r="G30" s="41">
        <v>104.36</v>
      </c>
      <c r="H30" s="39">
        <f t="shared" si="4"/>
        <v>0</v>
      </c>
      <c r="I30" s="160">
        <f t="shared" si="5"/>
        <v>0</v>
      </c>
      <c r="J30" s="40">
        <f t="shared" si="1"/>
        <v>156.54</v>
      </c>
      <c r="K30" s="40">
        <f t="shared" si="6"/>
        <v>0</v>
      </c>
      <c r="L30" s="41">
        <f t="shared" si="7"/>
        <v>0</v>
      </c>
      <c r="M30" s="40">
        <f t="shared" si="2"/>
        <v>234.81</v>
      </c>
      <c r="N30" s="40">
        <f t="shared" si="8"/>
        <v>0</v>
      </c>
      <c r="O30" s="42"/>
      <c r="P30" s="42"/>
      <c r="Q30" s="42"/>
      <c r="R30" s="42"/>
      <c r="S30" s="42"/>
      <c r="T30" s="51"/>
      <c r="U30" s="42"/>
      <c r="V30" s="42">
        <f t="shared" si="9"/>
        <v>0</v>
      </c>
      <c r="W30" s="42"/>
      <c r="X30" s="42"/>
    </row>
    <row r="31" spans="1:24" ht="15.75" x14ac:dyDescent="0.25">
      <c r="A31" s="262" t="s">
        <v>51</v>
      </c>
      <c r="B31" s="262"/>
      <c r="C31" s="262"/>
      <c r="D31" s="262"/>
      <c r="E31" s="160" t="s">
        <v>40</v>
      </c>
      <c r="F31" s="160">
        <v>0</v>
      </c>
      <c r="G31" s="41">
        <v>104.36</v>
      </c>
      <c r="H31" s="39">
        <f t="shared" si="4"/>
        <v>0</v>
      </c>
      <c r="I31" s="160">
        <f t="shared" si="5"/>
        <v>0</v>
      </c>
      <c r="J31" s="40">
        <f t="shared" si="1"/>
        <v>156.54</v>
      </c>
      <c r="K31" s="40">
        <f t="shared" si="6"/>
        <v>0</v>
      </c>
      <c r="L31" s="41">
        <f t="shared" si="7"/>
        <v>0</v>
      </c>
      <c r="M31" s="40">
        <f t="shared" si="2"/>
        <v>234.81</v>
      </c>
      <c r="N31" s="40">
        <f t="shared" si="8"/>
        <v>0</v>
      </c>
      <c r="O31" s="42"/>
      <c r="P31" s="42"/>
      <c r="Q31" s="42"/>
      <c r="R31" s="42"/>
      <c r="S31" s="42"/>
      <c r="T31" s="51"/>
      <c r="U31" s="42"/>
      <c r="V31" s="42">
        <f t="shared" si="9"/>
        <v>0</v>
      </c>
      <c r="W31" s="42"/>
      <c r="X31" s="42"/>
    </row>
    <row r="32" spans="1:24" ht="15.75" x14ac:dyDescent="0.25">
      <c r="A32" s="262" t="s">
        <v>52</v>
      </c>
      <c r="B32" s="262"/>
      <c r="C32" s="262"/>
      <c r="D32" s="262"/>
      <c r="E32" s="160" t="s">
        <v>40</v>
      </c>
      <c r="F32" s="160">
        <v>0</v>
      </c>
      <c r="G32" s="41">
        <v>104.36</v>
      </c>
      <c r="H32" s="39">
        <f t="shared" si="4"/>
        <v>0</v>
      </c>
      <c r="I32" s="160">
        <f t="shared" si="5"/>
        <v>0</v>
      </c>
      <c r="J32" s="40">
        <f t="shared" si="1"/>
        <v>156.54</v>
      </c>
      <c r="K32" s="40">
        <f t="shared" si="6"/>
        <v>0</v>
      </c>
      <c r="L32" s="41">
        <f t="shared" si="7"/>
        <v>0</v>
      </c>
      <c r="M32" s="40">
        <f t="shared" si="2"/>
        <v>234.81</v>
      </c>
      <c r="N32" s="40">
        <f t="shared" si="8"/>
        <v>0</v>
      </c>
      <c r="O32" s="42"/>
      <c r="P32" s="42"/>
      <c r="Q32" s="42"/>
      <c r="R32" s="42"/>
      <c r="S32" s="42"/>
      <c r="T32" s="51"/>
      <c r="U32" s="42"/>
      <c r="V32" s="42">
        <f t="shared" si="9"/>
        <v>0</v>
      </c>
      <c r="W32" s="42"/>
      <c r="X32" s="42"/>
    </row>
    <row r="33" spans="1:24" ht="15.75" x14ac:dyDescent="0.25">
      <c r="A33" s="263" t="s">
        <v>53</v>
      </c>
      <c r="B33" s="263"/>
      <c r="C33" s="263"/>
      <c r="D33" s="263"/>
      <c r="E33" s="161" t="s">
        <v>40</v>
      </c>
      <c r="F33" s="161">
        <v>0</v>
      </c>
      <c r="G33" s="45">
        <v>90.87</v>
      </c>
      <c r="H33" s="46">
        <f t="shared" si="4"/>
        <v>0</v>
      </c>
      <c r="I33" s="161">
        <f t="shared" si="5"/>
        <v>0</v>
      </c>
      <c r="J33" s="47">
        <f t="shared" si="1"/>
        <v>136.30500000000001</v>
      </c>
      <c r="K33" s="47">
        <f t="shared" si="6"/>
        <v>0</v>
      </c>
      <c r="L33" s="45">
        <f t="shared" si="7"/>
        <v>0</v>
      </c>
      <c r="M33" s="47">
        <f t="shared" si="2"/>
        <v>204.45750000000001</v>
      </c>
      <c r="N33" s="47">
        <f t="shared" si="8"/>
        <v>0</v>
      </c>
      <c r="O33" s="48">
        <v>16</v>
      </c>
      <c r="P33" s="48">
        <v>16</v>
      </c>
      <c r="Q33" s="48">
        <v>16</v>
      </c>
      <c r="R33" s="48">
        <v>8</v>
      </c>
      <c r="S33" s="48">
        <v>8</v>
      </c>
      <c r="T33" s="52">
        <v>5</v>
      </c>
      <c r="U33" s="48"/>
      <c r="V33" s="48">
        <f t="shared" si="9"/>
        <v>69</v>
      </c>
      <c r="W33" s="48"/>
      <c r="X33" s="48"/>
    </row>
    <row r="34" spans="1:24" ht="15.75" x14ac:dyDescent="0.25">
      <c r="A34" s="262" t="s">
        <v>55</v>
      </c>
      <c r="B34" s="262"/>
      <c r="C34" s="262"/>
      <c r="D34" s="262"/>
      <c r="E34" s="160" t="s">
        <v>40</v>
      </c>
      <c r="F34" s="160">
        <f t="shared" si="3"/>
        <v>0</v>
      </c>
      <c r="G34" s="41">
        <v>82.97</v>
      </c>
      <c r="H34" s="41">
        <f t="shared" si="4"/>
        <v>0</v>
      </c>
      <c r="I34" s="160">
        <f t="shared" si="5"/>
        <v>0</v>
      </c>
      <c r="J34" s="40">
        <f t="shared" si="1"/>
        <v>124.455</v>
      </c>
      <c r="K34" s="40">
        <f t="shared" si="6"/>
        <v>0</v>
      </c>
      <c r="L34" s="41">
        <f t="shared" si="7"/>
        <v>0</v>
      </c>
      <c r="M34" s="40">
        <f t="shared" si="2"/>
        <v>186.6825</v>
      </c>
      <c r="N34" s="40">
        <f t="shared" si="8"/>
        <v>0</v>
      </c>
      <c r="O34" s="42"/>
      <c r="P34" s="42"/>
      <c r="Q34" s="42"/>
      <c r="R34" s="42"/>
      <c r="S34" s="42"/>
      <c r="T34" s="51"/>
      <c r="U34" s="42"/>
      <c r="V34" s="48">
        <f t="shared" si="9"/>
        <v>0</v>
      </c>
      <c r="W34" s="42"/>
      <c r="X34" s="42"/>
    </row>
    <row r="35" spans="1:24" ht="15.75" x14ac:dyDescent="0.25">
      <c r="A35" s="262" t="s">
        <v>56</v>
      </c>
      <c r="B35" s="262"/>
      <c r="C35" s="262"/>
      <c r="D35" s="262"/>
      <c r="E35" s="160" t="s">
        <v>40</v>
      </c>
      <c r="F35" s="160">
        <v>0</v>
      </c>
      <c r="G35" s="41">
        <v>75.069999999999993</v>
      </c>
      <c r="H35" s="41">
        <f t="shared" si="4"/>
        <v>0</v>
      </c>
      <c r="I35" s="160">
        <f t="shared" si="5"/>
        <v>0</v>
      </c>
      <c r="J35" s="40">
        <f t="shared" si="1"/>
        <v>112.60499999999999</v>
      </c>
      <c r="K35" s="40">
        <f t="shared" si="6"/>
        <v>0</v>
      </c>
      <c r="L35" s="41">
        <f t="shared" si="7"/>
        <v>0</v>
      </c>
      <c r="M35" s="40">
        <f t="shared" si="2"/>
        <v>168.90749999999997</v>
      </c>
      <c r="N35" s="40">
        <f t="shared" si="8"/>
        <v>0</v>
      </c>
      <c r="O35" s="42"/>
      <c r="P35" s="42"/>
      <c r="Q35" s="42"/>
      <c r="R35" s="42"/>
      <c r="S35" s="42"/>
      <c r="T35" s="51"/>
      <c r="U35" s="42"/>
      <c r="V35" s="48">
        <f t="shared" si="9"/>
        <v>0</v>
      </c>
      <c r="W35" s="42"/>
      <c r="X35" s="42"/>
    </row>
    <row r="36" spans="1:24" ht="15.75" x14ac:dyDescent="0.25">
      <c r="A36" s="254" t="s">
        <v>57</v>
      </c>
      <c r="B36" s="255"/>
      <c r="C36" s="255"/>
      <c r="D36" s="256"/>
      <c r="E36" s="160" t="s">
        <v>40</v>
      </c>
      <c r="F36" s="160">
        <v>0</v>
      </c>
      <c r="G36" s="41">
        <v>75.069999999999993</v>
      </c>
      <c r="H36" s="41">
        <f t="shared" si="4"/>
        <v>0</v>
      </c>
      <c r="I36" s="160">
        <f t="shared" si="5"/>
        <v>0</v>
      </c>
      <c r="J36" s="40">
        <f t="shared" si="1"/>
        <v>112.60499999999999</v>
      </c>
      <c r="K36" s="40">
        <f t="shared" si="6"/>
        <v>0</v>
      </c>
      <c r="L36" s="41">
        <f t="shared" si="7"/>
        <v>0</v>
      </c>
      <c r="M36" s="40">
        <f t="shared" si="2"/>
        <v>168.90749999999997</v>
      </c>
      <c r="N36" s="40">
        <f t="shared" si="8"/>
        <v>0</v>
      </c>
      <c r="O36" s="42"/>
      <c r="P36" s="42"/>
      <c r="Q36" s="42"/>
      <c r="R36" s="42"/>
      <c r="S36" s="42"/>
      <c r="T36" s="51"/>
      <c r="U36" s="42"/>
      <c r="V36" s="48">
        <f t="shared" si="9"/>
        <v>0</v>
      </c>
      <c r="W36" s="42"/>
      <c r="X36" s="42"/>
    </row>
    <row r="37" spans="1:24" ht="15.75" x14ac:dyDescent="0.25">
      <c r="A37" s="251" t="s">
        <v>58</v>
      </c>
      <c r="B37" s="252"/>
      <c r="C37" s="252"/>
      <c r="D37" s="253"/>
      <c r="E37" s="161" t="s">
        <v>40</v>
      </c>
      <c r="F37" s="161">
        <v>0</v>
      </c>
      <c r="G37" s="45">
        <v>63.21</v>
      </c>
      <c r="H37" s="45">
        <f>F37*G37</f>
        <v>0</v>
      </c>
      <c r="I37" s="161">
        <f>W37</f>
        <v>0</v>
      </c>
      <c r="J37" s="47">
        <f t="shared" si="1"/>
        <v>94.814999999999998</v>
      </c>
      <c r="K37" s="47">
        <f>I37*J37</f>
        <v>0</v>
      </c>
      <c r="L37" s="45">
        <f t="shared" si="7"/>
        <v>0</v>
      </c>
      <c r="M37" s="47">
        <f t="shared" si="2"/>
        <v>142.2225</v>
      </c>
      <c r="N37" s="47">
        <f t="shared" si="8"/>
        <v>0</v>
      </c>
      <c r="O37" s="53">
        <v>8</v>
      </c>
      <c r="P37" s="53">
        <v>8</v>
      </c>
      <c r="Q37" s="53">
        <v>8</v>
      </c>
      <c r="R37" s="53">
        <v>8</v>
      </c>
      <c r="S37" s="53">
        <v>8</v>
      </c>
      <c r="T37" s="53"/>
      <c r="U37" s="48"/>
      <c r="V37" s="48">
        <f t="shared" si="9"/>
        <v>40</v>
      </c>
      <c r="W37" s="48"/>
      <c r="X37" s="48"/>
    </row>
    <row r="38" spans="1:24" ht="15.75" x14ac:dyDescent="0.25">
      <c r="A38" s="254" t="s">
        <v>59</v>
      </c>
      <c r="B38" s="255"/>
      <c r="C38" s="255"/>
      <c r="D38" s="256"/>
      <c r="E38" s="160" t="s">
        <v>40</v>
      </c>
      <c r="F38" s="160">
        <f t="shared" si="3"/>
        <v>0</v>
      </c>
      <c r="G38" s="41">
        <v>50.77</v>
      </c>
      <c r="H38" s="41">
        <f>F38*G38</f>
        <v>0</v>
      </c>
      <c r="I38" s="160">
        <f t="shared" si="5"/>
        <v>0</v>
      </c>
      <c r="J38" s="40">
        <f t="shared" si="1"/>
        <v>76.155000000000001</v>
      </c>
      <c r="K38" s="40">
        <f>I38*J38</f>
        <v>0</v>
      </c>
      <c r="L38" s="41">
        <f t="shared" si="7"/>
        <v>0</v>
      </c>
      <c r="M38" s="40">
        <f t="shared" si="2"/>
        <v>114.2325</v>
      </c>
      <c r="N38" s="40">
        <f t="shared" si="8"/>
        <v>0</v>
      </c>
      <c r="O38" s="43"/>
      <c r="P38" s="43"/>
      <c r="Q38" s="43"/>
      <c r="R38" s="43"/>
      <c r="S38" s="43"/>
      <c r="T38" s="43"/>
      <c r="U38" s="42"/>
      <c r="V38" s="42"/>
      <c r="W38" s="42"/>
      <c r="X38" s="42"/>
    </row>
    <row r="39" spans="1:24" ht="15.75" x14ac:dyDescent="0.25">
      <c r="A39" s="257" t="s">
        <v>61</v>
      </c>
      <c r="B39" s="258"/>
      <c r="C39" s="258"/>
      <c r="D39" s="259"/>
      <c r="E39" s="54" t="s">
        <v>40</v>
      </c>
      <c r="F39" s="55">
        <f t="shared" si="3"/>
        <v>0</v>
      </c>
      <c r="G39" s="56">
        <v>186</v>
      </c>
      <c r="H39" s="56">
        <f t="shared" si="4"/>
        <v>0</v>
      </c>
      <c r="I39" s="55">
        <f t="shared" si="5"/>
        <v>0</v>
      </c>
      <c r="J39" s="57">
        <v>186</v>
      </c>
      <c r="K39" s="57">
        <f t="shared" si="6"/>
        <v>0</v>
      </c>
      <c r="L39" s="56">
        <f t="shared" si="7"/>
        <v>0</v>
      </c>
      <c r="M39" s="57">
        <v>186</v>
      </c>
      <c r="N39" s="57">
        <f t="shared" si="8"/>
        <v>0</v>
      </c>
      <c r="O39" s="42"/>
      <c r="P39" s="42"/>
      <c r="Q39" s="42"/>
      <c r="R39" s="42"/>
      <c r="S39" s="42"/>
      <c r="T39" s="42"/>
      <c r="U39" s="42"/>
      <c r="V39" s="42">
        <f t="shared" si="9"/>
        <v>0</v>
      </c>
      <c r="W39" s="42"/>
      <c r="X39" s="42"/>
    </row>
    <row r="40" spans="1:24" ht="15.75" x14ac:dyDescent="0.25">
      <c r="A40" s="257" t="s">
        <v>62</v>
      </c>
      <c r="B40" s="258"/>
      <c r="C40" s="258"/>
      <c r="D40" s="259"/>
      <c r="E40" s="54" t="s">
        <v>40</v>
      </c>
      <c r="F40" s="55">
        <f t="shared" si="3"/>
        <v>0</v>
      </c>
      <c r="G40" s="56">
        <v>186</v>
      </c>
      <c r="H40" s="56">
        <f>F40*G40</f>
        <v>0</v>
      </c>
      <c r="I40" s="55">
        <f t="shared" si="5"/>
        <v>0</v>
      </c>
      <c r="J40" s="57">
        <v>186</v>
      </c>
      <c r="K40" s="57">
        <f>I40*J40</f>
        <v>0</v>
      </c>
      <c r="L40" s="56">
        <f t="shared" si="7"/>
        <v>0</v>
      </c>
      <c r="M40" s="57">
        <v>186</v>
      </c>
      <c r="N40" s="57">
        <f t="shared" si="8"/>
        <v>0</v>
      </c>
      <c r="O40" s="42"/>
      <c r="P40" s="42"/>
      <c r="Q40" s="42"/>
      <c r="R40" s="42"/>
      <c r="S40" s="42"/>
      <c r="T40" s="42"/>
      <c r="U40" s="42"/>
      <c r="V40" s="42">
        <f t="shared" si="9"/>
        <v>0</v>
      </c>
      <c r="W40" s="42"/>
      <c r="X40" s="42"/>
    </row>
    <row r="41" spans="1:24" ht="15.75" x14ac:dyDescent="0.25">
      <c r="A41" s="257" t="s">
        <v>63</v>
      </c>
      <c r="B41" s="258"/>
      <c r="C41" s="258"/>
      <c r="D41" s="259"/>
      <c r="E41" s="54" t="s">
        <v>40</v>
      </c>
      <c r="F41" s="55">
        <f t="shared" si="3"/>
        <v>0</v>
      </c>
      <c r="G41" s="56">
        <v>230.47</v>
      </c>
      <c r="H41" s="56">
        <f>F41*G41</f>
        <v>0</v>
      </c>
      <c r="I41" s="55">
        <f t="shared" si="5"/>
        <v>0</v>
      </c>
      <c r="J41" s="57">
        <v>294</v>
      </c>
      <c r="K41" s="57">
        <f>I41*J41</f>
        <v>0</v>
      </c>
      <c r="L41" s="56">
        <f t="shared" si="7"/>
        <v>0</v>
      </c>
      <c r="M41" s="57">
        <v>294</v>
      </c>
      <c r="N41" s="57">
        <f t="shared" si="8"/>
        <v>0</v>
      </c>
      <c r="O41" s="42"/>
      <c r="P41" s="42"/>
      <c r="Q41" s="42"/>
      <c r="R41" s="42"/>
      <c r="S41" s="42"/>
      <c r="T41" s="42"/>
      <c r="U41" s="42"/>
      <c r="V41" s="42">
        <f t="shared" si="9"/>
        <v>0</v>
      </c>
      <c r="W41" s="42"/>
      <c r="X41" s="42"/>
    </row>
    <row r="42" spans="1:24" ht="15.75" x14ac:dyDescent="0.25">
      <c r="A42" s="254" t="s">
        <v>64</v>
      </c>
      <c r="B42" s="255"/>
      <c r="C42" s="255"/>
      <c r="D42" s="256"/>
      <c r="E42" s="23" t="s">
        <v>40</v>
      </c>
      <c r="F42" s="160">
        <f t="shared" si="3"/>
        <v>0</v>
      </c>
      <c r="G42" s="41">
        <v>279.52999999999997</v>
      </c>
      <c r="H42" s="41">
        <f>F42*G42</f>
        <v>0</v>
      </c>
      <c r="I42" s="160">
        <f>W42</f>
        <v>0</v>
      </c>
      <c r="J42" s="40">
        <v>372.71</v>
      </c>
      <c r="K42" s="40">
        <f>I42*J42</f>
        <v>0</v>
      </c>
      <c r="L42" s="41">
        <f t="shared" si="7"/>
        <v>0</v>
      </c>
      <c r="M42" s="40">
        <v>559.07000000000005</v>
      </c>
      <c r="N42" s="40">
        <f t="shared" si="8"/>
        <v>0</v>
      </c>
      <c r="O42" s="42"/>
      <c r="P42" s="42"/>
      <c r="Q42" s="42"/>
      <c r="R42" s="42"/>
      <c r="S42" s="42"/>
      <c r="T42" s="42"/>
      <c r="U42" s="42"/>
      <c r="V42" s="42">
        <f>SUM(O42:T42)</f>
        <v>0</v>
      </c>
      <c r="W42" s="42"/>
      <c r="X42" s="42"/>
    </row>
    <row r="43" spans="1:24" ht="15.75" x14ac:dyDescent="0.25">
      <c r="A43" s="58"/>
      <c r="B43" s="58"/>
      <c r="C43" s="58"/>
      <c r="D43" s="58"/>
      <c r="E43" s="58"/>
      <c r="F43" s="58">
        <f t="shared" si="3"/>
        <v>287</v>
      </c>
      <c r="G43" s="28" t="s">
        <v>65</v>
      </c>
      <c r="H43" s="59">
        <f>SUM(H21:H42)</f>
        <v>0</v>
      </c>
      <c r="I43" s="60"/>
      <c r="J43" s="28" t="s">
        <v>66</v>
      </c>
      <c r="K43" s="28">
        <f>SUM(K22:K41)</f>
        <v>0</v>
      </c>
      <c r="L43" s="61"/>
      <c r="M43" s="62" t="s">
        <v>66</v>
      </c>
      <c r="N43" s="28">
        <f>SUM(N22:N41)</f>
        <v>0</v>
      </c>
      <c r="O43" s="18"/>
      <c r="P43" s="18"/>
      <c r="Q43" s="18"/>
      <c r="R43" s="18"/>
      <c r="S43" s="18"/>
      <c r="T43" s="18"/>
      <c r="U43" s="18"/>
      <c r="V43" s="18">
        <f>SUM(V21:V42)</f>
        <v>287</v>
      </c>
      <c r="W43" s="18">
        <v>45</v>
      </c>
      <c r="X43" s="18"/>
    </row>
    <row r="44" spans="1:24" ht="15.75" x14ac:dyDescent="0.25">
      <c r="A44" s="58"/>
      <c r="B44" s="58"/>
      <c r="C44" s="58"/>
      <c r="D44" s="58"/>
      <c r="E44" s="58"/>
      <c r="F44" s="58"/>
      <c r="G44" s="28" t="s">
        <v>67</v>
      </c>
      <c r="H44" s="59">
        <f>H43+K43+N43</f>
        <v>0</v>
      </c>
      <c r="I44" s="22"/>
      <c r="J44" s="63"/>
      <c r="K44" s="63"/>
      <c r="L44" s="34"/>
      <c r="M44" s="64"/>
      <c r="N44" s="63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5.75" x14ac:dyDescent="0.25">
      <c r="A45" s="260" t="s">
        <v>68</v>
      </c>
      <c r="B45" s="260"/>
      <c r="C45" s="260"/>
      <c r="D45" s="260"/>
      <c r="E45" s="65"/>
      <c r="F45" s="66"/>
      <c r="G45" s="67" t="s">
        <v>69</v>
      </c>
      <c r="H45" s="28">
        <f>+H44*0.06</f>
        <v>0</v>
      </c>
      <c r="I45" s="22"/>
      <c r="J45" s="58"/>
      <c r="K45" s="58"/>
      <c r="L45" s="58"/>
      <c r="M45" s="58"/>
      <c r="N45" s="5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5.75" x14ac:dyDescent="0.25">
      <c r="A46" s="68"/>
      <c r="B46" s="34"/>
      <c r="C46" s="34"/>
      <c r="D46" s="58"/>
      <c r="E46" s="58"/>
      <c r="F46" s="58"/>
      <c r="G46" s="160"/>
      <c r="H46" s="41"/>
      <c r="I46" s="22"/>
      <c r="J46" s="58"/>
      <c r="K46" s="58"/>
      <c r="L46" s="58"/>
      <c r="M46" s="58"/>
      <c r="N46" s="5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5.75" x14ac:dyDescent="0.25">
      <c r="A47" s="261" t="s">
        <v>70</v>
      </c>
      <c r="B47" s="261"/>
      <c r="C47" s="261"/>
      <c r="D47" s="261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1:24" ht="15.75" x14ac:dyDescent="0.25">
      <c r="A48" s="248" t="s">
        <v>15</v>
      </c>
      <c r="B48" s="248"/>
      <c r="C48" s="248"/>
      <c r="D48" s="248"/>
      <c r="E48" s="69" t="s">
        <v>16</v>
      </c>
      <c r="F48" s="157" t="s">
        <v>17</v>
      </c>
      <c r="G48" s="157" t="s">
        <v>18</v>
      </c>
      <c r="H48" s="157" t="s">
        <v>3</v>
      </c>
      <c r="I48" s="17"/>
      <c r="J48" s="157" t="s">
        <v>71</v>
      </c>
      <c r="K48" s="157" t="s">
        <v>72</v>
      </c>
      <c r="L48" s="157" t="s">
        <v>73</v>
      </c>
      <c r="M48" s="157" t="s">
        <v>74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5.75" x14ac:dyDescent="0.25">
      <c r="A49" s="245" t="s">
        <v>75</v>
      </c>
      <c r="B49" s="246"/>
      <c r="C49" s="246"/>
      <c r="D49" s="246"/>
      <c r="E49" s="70" t="s">
        <v>76</v>
      </c>
      <c r="F49" s="23">
        <v>0</v>
      </c>
      <c r="G49" s="71">
        <v>102.29</v>
      </c>
      <c r="H49" s="71">
        <f t="shared" ref="H49:H55" si="10">F49*G49</f>
        <v>0</v>
      </c>
      <c r="I49" s="72"/>
      <c r="J49" s="73">
        <v>0</v>
      </c>
      <c r="K49" s="73">
        <v>0</v>
      </c>
      <c r="L49" s="73">
        <v>0</v>
      </c>
      <c r="M49" s="73">
        <f>J49+K49+L49</f>
        <v>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1:24" ht="15.75" x14ac:dyDescent="0.25">
      <c r="A50" s="245" t="s">
        <v>77</v>
      </c>
      <c r="B50" s="246"/>
      <c r="C50" s="246"/>
      <c r="D50" s="246"/>
      <c r="E50" s="70" t="s">
        <v>76</v>
      </c>
      <c r="F50" s="70">
        <v>0</v>
      </c>
      <c r="G50" s="71">
        <v>68.7</v>
      </c>
      <c r="H50" s="71">
        <f t="shared" si="10"/>
        <v>0</v>
      </c>
      <c r="I50" s="72"/>
      <c r="J50" s="73">
        <v>0</v>
      </c>
      <c r="K50" s="73">
        <v>0</v>
      </c>
      <c r="L50" s="73"/>
      <c r="M50" s="73">
        <f>J50+K50+L50</f>
        <v>0</v>
      </c>
      <c r="N50" s="18"/>
      <c r="O50" s="30"/>
      <c r="P50" s="18"/>
      <c r="Q50" s="18"/>
      <c r="R50" s="18"/>
      <c r="S50" s="18"/>
      <c r="T50" s="18"/>
      <c r="U50" s="18"/>
      <c r="V50" s="18"/>
      <c r="W50" s="18"/>
      <c r="X50" s="18"/>
    </row>
    <row r="51" spans="1:24" ht="15.75" x14ac:dyDescent="0.25">
      <c r="A51" s="245" t="s">
        <v>78</v>
      </c>
      <c r="B51" s="246"/>
      <c r="C51" s="246"/>
      <c r="D51" s="246"/>
      <c r="E51" s="70" t="s">
        <v>76</v>
      </c>
      <c r="F51" s="70">
        <v>8</v>
      </c>
      <c r="G51" s="71">
        <v>54.43</v>
      </c>
      <c r="H51" s="71">
        <f t="shared" si="10"/>
        <v>435.44</v>
      </c>
      <c r="I51" s="72"/>
      <c r="J51" s="73">
        <v>0.45</v>
      </c>
      <c r="K51" s="73">
        <v>0.45</v>
      </c>
      <c r="L51" s="73"/>
      <c r="M51" s="73">
        <f>J51+K51+L51</f>
        <v>0.9</v>
      </c>
      <c r="N51" s="18"/>
      <c r="O51" s="30"/>
      <c r="P51" s="18"/>
      <c r="Q51" s="18"/>
      <c r="R51" s="18"/>
      <c r="S51" s="18"/>
      <c r="T51" s="18"/>
      <c r="U51" s="18"/>
      <c r="V51" s="18"/>
      <c r="W51" s="18"/>
      <c r="X51" s="18"/>
    </row>
    <row r="52" spans="1:24" ht="15.75" x14ac:dyDescent="0.25">
      <c r="A52" s="245" t="s">
        <v>79</v>
      </c>
      <c r="B52" s="245"/>
      <c r="C52" s="245"/>
      <c r="D52" s="245"/>
      <c r="E52" s="23" t="s">
        <v>76</v>
      </c>
      <c r="F52" s="23">
        <f>M52</f>
        <v>0</v>
      </c>
      <c r="G52" s="24">
        <v>203.19</v>
      </c>
      <c r="H52" s="24">
        <f t="shared" si="10"/>
        <v>0</v>
      </c>
      <c r="I52" s="72"/>
      <c r="J52" s="73"/>
      <c r="K52" s="73"/>
      <c r="L52" s="73"/>
      <c r="M52" s="73">
        <f>J52+K52+L52</f>
        <v>0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1:24" ht="15.75" x14ac:dyDescent="0.25">
      <c r="A53" s="234" t="s">
        <v>80</v>
      </c>
      <c r="B53" s="235"/>
      <c r="C53" s="235"/>
      <c r="D53" s="235"/>
      <c r="E53" s="74" t="s">
        <v>76</v>
      </c>
      <c r="F53" s="74"/>
      <c r="G53" s="71">
        <v>407.62</v>
      </c>
      <c r="H53" s="75">
        <f t="shared" si="10"/>
        <v>0</v>
      </c>
      <c r="I53" s="31"/>
      <c r="J53" s="18"/>
      <c r="K53" s="18"/>
      <c r="L53" s="18"/>
      <c r="M53" s="2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1:24" ht="15.75" x14ac:dyDescent="0.25">
      <c r="A54" s="234" t="s">
        <v>81</v>
      </c>
      <c r="B54" s="234"/>
      <c r="C54" s="234"/>
      <c r="D54" s="234"/>
      <c r="E54" s="164" t="s">
        <v>82</v>
      </c>
      <c r="F54" s="164"/>
      <c r="G54" s="24">
        <v>5000</v>
      </c>
      <c r="H54" s="25">
        <f t="shared" si="10"/>
        <v>0</v>
      </c>
      <c r="I54" s="31"/>
      <c r="J54" s="18"/>
      <c r="K54" s="18"/>
      <c r="L54" s="18"/>
      <c r="M54" s="2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ht="15.75" x14ac:dyDescent="0.25">
      <c r="A55" s="234" t="s">
        <v>83</v>
      </c>
      <c r="B55" s="235"/>
      <c r="C55" s="235"/>
      <c r="D55" s="235"/>
      <c r="E55" s="164" t="s">
        <v>84</v>
      </c>
      <c r="F55" s="74"/>
      <c r="G55" s="71">
        <v>2.5</v>
      </c>
      <c r="H55" s="75">
        <f t="shared" si="10"/>
        <v>0</v>
      </c>
      <c r="I55" s="31"/>
      <c r="J55" s="18"/>
      <c r="K55" s="18"/>
      <c r="L55" s="18"/>
      <c r="M55" s="2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15.75" x14ac:dyDescent="0.25">
      <c r="A56" s="18"/>
      <c r="B56" s="18"/>
      <c r="C56" s="18"/>
      <c r="D56" s="18"/>
      <c r="E56" s="18"/>
      <c r="F56" s="18"/>
      <c r="G56" s="76" t="s">
        <v>85</v>
      </c>
      <c r="H56" s="76">
        <f>SUM(H49:H55)</f>
        <v>435.44</v>
      </c>
      <c r="I56" s="22"/>
      <c r="J56" s="18"/>
      <c r="K56" s="18"/>
      <c r="L56" s="18"/>
      <c r="M56" s="26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ht="15.75" x14ac:dyDescent="0.25">
      <c r="A57" s="77" t="s">
        <v>86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2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ht="15.75" x14ac:dyDescent="0.25">
      <c r="A58" s="248" t="s">
        <v>15</v>
      </c>
      <c r="B58" s="248"/>
      <c r="C58" s="248"/>
      <c r="D58" s="248"/>
      <c r="E58" s="69" t="s">
        <v>16</v>
      </c>
      <c r="F58" s="157" t="s">
        <v>17</v>
      </c>
      <c r="G58" s="157" t="s">
        <v>18</v>
      </c>
      <c r="H58" s="157" t="s">
        <v>3</v>
      </c>
      <c r="I58" s="17"/>
      <c r="J58" s="78" t="s">
        <v>87</v>
      </c>
      <c r="K58" s="78" t="s">
        <v>88</v>
      </c>
      <c r="L58" s="78" t="s">
        <v>89</v>
      </c>
      <c r="M58" s="78" t="s">
        <v>74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ht="15.75" x14ac:dyDescent="0.25">
      <c r="A59" s="234" t="s">
        <v>90</v>
      </c>
      <c r="B59" s="235"/>
      <c r="C59" s="235"/>
      <c r="D59" s="247"/>
      <c r="E59" s="74" t="s">
        <v>91</v>
      </c>
      <c r="F59" s="79">
        <v>30</v>
      </c>
      <c r="G59" s="72">
        <v>16.48</v>
      </c>
      <c r="H59" s="75">
        <f>F59*G59</f>
        <v>494.40000000000003</v>
      </c>
      <c r="I59" s="31"/>
      <c r="J59" s="80">
        <v>22</v>
      </c>
      <c r="K59" s="80">
        <v>22</v>
      </c>
      <c r="L59" s="80"/>
      <c r="M59" s="80">
        <f>J59+K59+L59</f>
        <v>44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ht="15.75" x14ac:dyDescent="0.25">
      <c r="A60" s="234" t="s">
        <v>92</v>
      </c>
      <c r="B60" s="235"/>
      <c r="C60" s="235"/>
      <c r="D60" s="247"/>
      <c r="E60" s="74" t="s">
        <v>91</v>
      </c>
      <c r="F60" s="79">
        <f>M60/4.5</f>
        <v>0</v>
      </c>
      <c r="G60" s="71">
        <v>0</v>
      </c>
      <c r="H60" s="75">
        <f>F60*G60</f>
        <v>0</v>
      </c>
      <c r="I60" s="31"/>
      <c r="J60" s="80"/>
      <c r="K60" s="80"/>
      <c r="L60" s="80"/>
      <c r="M60" s="80">
        <f>J60+K60+L60</f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5.75" x14ac:dyDescent="0.25">
      <c r="A61" s="18"/>
      <c r="B61" s="18"/>
      <c r="C61" s="18"/>
      <c r="D61" s="18"/>
      <c r="E61" s="18"/>
      <c r="F61" s="18"/>
      <c r="G61" s="157" t="s">
        <v>93</v>
      </c>
      <c r="H61" s="76">
        <f>SUM(H59:H60)</f>
        <v>494.40000000000003</v>
      </c>
      <c r="I61" s="3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ht="15.75" x14ac:dyDescent="0.25">
      <c r="A62" s="77" t="s">
        <v>94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ht="15.75" x14ac:dyDescent="0.25">
      <c r="A63" s="248" t="s">
        <v>15</v>
      </c>
      <c r="B63" s="248"/>
      <c r="C63" s="248"/>
      <c r="D63" s="248"/>
      <c r="E63" s="69" t="s">
        <v>16</v>
      </c>
      <c r="F63" s="157" t="s">
        <v>17</v>
      </c>
      <c r="G63" s="157" t="s">
        <v>18</v>
      </c>
      <c r="H63" s="157" t="s">
        <v>3</v>
      </c>
      <c r="I63" s="17"/>
      <c r="J63" s="81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15.75" x14ac:dyDescent="0.25">
      <c r="A64" s="234" t="s">
        <v>95</v>
      </c>
      <c r="B64" s="235"/>
      <c r="C64" s="235"/>
      <c r="D64" s="235"/>
      <c r="E64" s="74" t="s">
        <v>96</v>
      </c>
      <c r="F64" s="74">
        <v>2</v>
      </c>
      <c r="G64" s="71">
        <v>180</v>
      </c>
      <c r="H64" s="75">
        <f>F64*G64</f>
        <v>360</v>
      </c>
      <c r="I64" s="159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ht="15.75" x14ac:dyDescent="0.25">
      <c r="A65" s="234" t="s">
        <v>97</v>
      </c>
      <c r="B65" s="235"/>
      <c r="C65" s="235"/>
      <c r="D65" s="235"/>
      <c r="E65" s="74" t="s">
        <v>96</v>
      </c>
      <c r="F65" s="74"/>
      <c r="G65" s="71">
        <v>65</v>
      </c>
      <c r="H65" s="75">
        <f>F65*G65</f>
        <v>0</v>
      </c>
      <c r="I65" s="159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ht="15.75" x14ac:dyDescent="0.25">
      <c r="A66" s="18"/>
      <c r="B66" s="18"/>
      <c r="C66" s="18"/>
      <c r="D66" s="18"/>
      <c r="E66" s="18"/>
      <c r="F66" s="18"/>
      <c r="G66" s="157" t="s">
        <v>98</v>
      </c>
      <c r="H66" s="76">
        <f>SUM(H64:H65)</f>
        <v>360</v>
      </c>
      <c r="I66" s="2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ht="15.75" x14ac:dyDescent="0.25">
      <c r="A67" s="33" t="s">
        <v>99</v>
      </c>
      <c r="B67" s="18"/>
      <c r="C67" s="18"/>
      <c r="D67" s="18"/>
      <c r="E67" s="18"/>
      <c r="F67" s="18"/>
      <c r="G67" s="82"/>
      <c r="H67" s="63"/>
      <c r="I67" s="22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1:24" ht="15.75" x14ac:dyDescent="0.25">
      <c r="A68" s="77" t="s">
        <v>100</v>
      </c>
      <c r="B68" s="18"/>
      <c r="C68" s="18"/>
      <c r="D68" s="18"/>
      <c r="E68" s="18"/>
      <c r="F68" s="18"/>
      <c r="G68" s="18"/>
      <c r="H68" s="18"/>
      <c r="I68" s="18"/>
      <c r="J68" s="250"/>
      <c r="K68" s="250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15.75" x14ac:dyDescent="0.25">
      <c r="A69" s="248" t="s">
        <v>15</v>
      </c>
      <c r="B69" s="248"/>
      <c r="C69" s="248"/>
      <c r="D69" s="248"/>
      <c r="E69" s="69" t="s">
        <v>16</v>
      </c>
      <c r="F69" s="157" t="s">
        <v>17</v>
      </c>
      <c r="G69" s="157" t="s">
        <v>18</v>
      </c>
      <c r="H69" s="157" t="s">
        <v>3</v>
      </c>
      <c r="I69" s="17"/>
      <c r="J69" s="83"/>
      <c r="K69" s="83"/>
      <c r="L69" s="83"/>
      <c r="M69" s="83"/>
      <c r="N69" s="83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1:24" ht="15.75" x14ac:dyDescent="0.25">
      <c r="A70" s="235" t="s">
        <v>101</v>
      </c>
      <c r="B70" s="235"/>
      <c r="C70" s="235"/>
      <c r="D70" s="235"/>
      <c r="E70" s="84" t="s">
        <v>19</v>
      </c>
      <c r="F70" s="74">
        <v>0.5</v>
      </c>
      <c r="G70" s="71">
        <v>450</v>
      </c>
      <c r="H70" s="60">
        <f>F70*G70</f>
        <v>225</v>
      </c>
      <c r="I70" s="85"/>
      <c r="J70" s="83"/>
      <c r="K70" s="83"/>
      <c r="L70" s="83"/>
      <c r="M70" s="83"/>
      <c r="N70" s="83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ht="15.75" x14ac:dyDescent="0.25">
      <c r="A71" s="18"/>
      <c r="B71" s="18"/>
      <c r="C71" s="18"/>
      <c r="D71" s="18"/>
      <c r="E71" s="18"/>
      <c r="F71" s="18"/>
      <c r="G71" s="157"/>
      <c r="H71" s="76">
        <f>SUM(H70)</f>
        <v>225</v>
      </c>
      <c r="I71" s="85"/>
      <c r="J71" s="83"/>
      <c r="K71" s="83"/>
      <c r="L71" s="83"/>
      <c r="M71" s="83"/>
      <c r="N71" s="83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ht="15.75" x14ac:dyDescent="0.25">
      <c r="A72" s="77" t="s">
        <v>102</v>
      </c>
      <c r="B72" s="18"/>
      <c r="C72" s="18"/>
      <c r="D72" s="18"/>
      <c r="E72" s="18"/>
      <c r="F72" s="18"/>
      <c r="G72" s="18"/>
      <c r="H72" s="18"/>
      <c r="I72" s="86"/>
      <c r="J72" s="83"/>
      <c r="K72" s="83"/>
      <c r="L72" s="83"/>
      <c r="M72" s="83"/>
      <c r="N72" s="83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1:24" ht="15.75" x14ac:dyDescent="0.25">
      <c r="A73" s="248" t="s">
        <v>15</v>
      </c>
      <c r="B73" s="248"/>
      <c r="C73" s="248"/>
      <c r="D73" s="248"/>
      <c r="E73" s="69" t="s">
        <v>16</v>
      </c>
      <c r="F73" s="157" t="s">
        <v>17</v>
      </c>
      <c r="G73" s="157" t="s">
        <v>18</v>
      </c>
      <c r="H73" s="157" t="s">
        <v>3</v>
      </c>
      <c r="I73" s="17"/>
      <c r="J73" s="18"/>
      <c r="K73" s="18"/>
      <c r="L73" s="8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ht="15.75" x14ac:dyDescent="0.25">
      <c r="A74" s="234" t="s">
        <v>103</v>
      </c>
      <c r="B74" s="235"/>
      <c r="C74" s="235"/>
      <c r="D74" s="235"/>
      <c r="E74" s="74" t="s">
        <v>104</v>
      </c>
      <c r="F74" s="74">
        <v>0</v>
      </c>
      <c r="G74" s="71">
        <v>900</v>
      </c>
      <c r="H74" s="60">
        <f>F74*G74</f>
        <v>0</v>
      </c>
      <c r="I74" s="22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1:24" ht="15.75" x14ac:dyDescent="0.25">
      <c r="A75" s="18"/>
      <c r="B75" s="18"/>
      <c r="C75" s="18"/>
      <c r="D75" s="18"/>
      <c r="E75" s="18"/>
      <c r="F75" s="18"/>
      <c r="G75" s="157" t="s">
        <v>105</v>
      </c>
      <c r="H75" s="76">
        <f>SUM(H74)</f>
        <v>0</v>
      </c>
      <c r="I75" s="22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ht="15.75" x14ac:dyDescent="0.25">
      <c r="A76" s="18"/>
      <c r="B76" s="18"/>
      <c r="C76" s="18"/>
      <c r="D76" s="18"/>
      <c r="E76" s="18"/>
      <c r="F76" s="18"/>
      <c r="G76" s="157" t="s">
        <v>106</v>
      </c>
      <c r="H76" s="76">
        <f>H56+H61+H66+H71+H75+H45+H44+H17</f>
        <v>1514.8400000000001</v>
      </c>
      <c r="I76" s="27"/>
      <c r="J76" s="8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15.75" x14ac:dyDescent="0.25">
      <c r="A77" s="21" t="s">
        <v>107</v>
      </c>
      <c r="B77" s="34"/>
      <c r="C77" s="34"/>
      <c r="D77" s="43"/>
      <c r="E77" s="18"/>
      <c r="F77" s="18"/>
      <c r="G77" s="18"/>
      <c r="H77" s="89"/>
      <c r="I77" s="36"/>
      <c r="J77" s="88"/>
      <c r="K77" s="5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ht="15.75" x14ac:dyDescent="0.25">
      <c r="A78" s="249" t="s">
        <v>15</v>
      </c>
      <c r="B78" s="249"/>
      <c r="C78" s="249"/>
      <c r="D78" s="249"/>
      <c r="E78" s="90" t="s">
        <v>16</v>
      </c>
      <c r="F78" s="158" t="s">
        <v>17</v>
      </c>
      <c r="G78" s="158" t="s">
        <v>18</v>
      </c>
      <c r="H78" s="91" t="s">
        <v>3</v>
      </c>
      <c r="I78" s="92" t="s">
        <v>108</v>
      </c>
      <c r="J78" s="93"/>
      <c r="K78" s="93" t="s">
        <v>109</v>
      </c>
      <c r="L78" s="9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ht="15.75" x14ac:dyDescent="0.25">
      <c r="A79" s="234" t="s">
        <v>110</v>
      </c>
      <c r="B79" s="235"/>
      <c r="C79" s="235"/>
      <c r="D79" s="235"/>
      <c r="E79" s="164" t="s">
        <v>111</v>
      </c>
      <c r="F79" s="74"/>
      <c r="G79" s="80">
        <v>2200</v>
      </c>
      <c r="H79" s="95">
        <f>(F79*G79)</f>
        <v>0</v>
      </c>
      <c r="I79" s="96"/>
      <c r="J79" s="97"/>
      <c r="K79" s="98"/>
      <c r="L79" s="8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15.75" x14ac:dyDescent="0.25">
      <c r="A80" s="234" t="s">
        <v>112</v>
      </c>
      <c r="B80" s="235"/>
      <c r="C80" s="235"/>
      <c r="D80" s="235"/>
      <c r="E80" s="164" t="s">
        <v>111</v>
      </c>
      <c r="F80" s="74"/>
      <c r="G80" s="80">
        <v>2000</v>
      </c>
      <c r="H80" s="95">
        <f t="shared" ref="H80:H98" si="11">(F80*G80)</f>
        <v>0</v>
      </c>
      <c r="I80" s="96"/>
      <c r="J80" s="97"/>
      <c r="K80" s="98"/>
      <c r="L80" s="8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ht="15.75" x14ac:dyDescent="0.25">
      <c r="A81" s="234" t="s">
        <v>113</v>
      </c>
      <c r="B81" s="235"/>
      <c r="C81" s="235"/>
      <c r="D81" s="235"/>
      <c r="E81" s="164" t="s">
        <v>111</v>
      </c>
      <c r="F81" s="74"/>
      <c r="G81" s="80">
        <v>7000</v>
      </c>
      <c r="H81" s="95">
        <f t="shared" si="11"/>
        <v>0</v>
      </c>
      <c r="I81" s="96"/>
      <c r="J81" s="97"/>
      <c r="K81" s="98"/>
      <c r="L81" s="8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ht="15.75" x14ac:dyDescent="0.25">
      <c r="A82" s="234" t="s">
        <v>114</v>
      </c>
      <c r="B82" s="235"/>
      <c r="C82" s="235"/>
      <c r="D82" s="235"/>
      <c r="E82" s="164" t="s">
        <v>111</v>
      </c>
      <c r="F82" s="74"/>
      <c r="G82" s="80">
        <v>15200</v>
      </c>
      <c r="H82" s="95">
        <f t="shared" si="11"/>
        <v>0</v>
      </c>
      <c r="I82" s="96"/>
      <c r="J82" s="97"/>
      <c r="K82" s="98"/>
      <c r="L82" s="8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ht="15.75" x14ac:dyDescent="0.25">
      <c r="A83" s="245" t="s">
        <v>115</v>
      </c>
      <c r="B83" s="246"/>
      <c r="C83" s="246"/>
      <c r="D83" s="246"/>
      <c r="E83" s="23" t="s">
        <v>111</v>
      </c>
      <c r="F83" s="70"/>
      <c r="G83" s="73">
        <v>2200</v>
      </c>
      <c r="H83" s="105">
        <f t="shared" si="11"/>
        <v>0</v>
      </c>
      <c r="I83" s="103"/>
      <c r="J83" s="97"/>
      <c r="K83" s="98"/>
      <c r="L83" s="8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ht="15.75" x14ac:dyDescent="0.25">
      <c r="A84" s="245" t="s">
        <v>116</v>
      </c>
      <c r="B84" s="246"/>
      <c r="C84" s="246"/>
      <c r="D84" s="246"/>
      <c r="E84" s="23" t="s">
        <v>111</v>
      </c>
      <c r="F84" s="70"/>
      <c r="G84" s="73">
        <v>2000</v>
      </c>
      <c r="H84" s="105">
        <f t="shared" si="11"/>
        <v>0</v>
      </c>
      <c r="I84" s="103"/>
      <c r="J84" s="97"/>
      <c r="K84" s="98"/>
      <c r="L84" s="8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1:24" ht="15.75" x14ac:dyDescent="0.25">
      <c r="A85" s="245" t="s">
        <v>117</v>
      </c>
      <c r="B85" s="246"/>
      <c r="C85" s="246"/>
      <c r="D85" s="246"/>
      <c r="E85" s="23" t="s">
        <v>111</v>
      </c>
      <c r="F85" s="70"/>
      <c r="G85" s="73">
        <v>2500</v>
      </c>
      <c r="H85" s="105">
        <f t="shared" si="11"/>
        <v>0</v>
      </c>
      <c r="I85" s="103"/>
      <c r="J85" s="97"/>
      <c r="K85" s="98"/>
      <c r="L85" s="8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15.75" x14ac:dyDescent="0.25">
      <c r="A86" s="245" t="s">
        <v>118</v>
      </c>
      <c r="B86" s="246"/>
      <c r="C86" s="246"/>
      <c r="D86" s="246"/>
      <c r="E86" s="23" t="s">
        <v>111</v>
      </c>
      <c r="F86" s="70"/>
      <c r="G86" s="73">
        <v>1600</v>
      </c>
      <c r="H86" s="105">
        <f t="shared" si="11"/>
        <v>0</v>
      </c>
      <c r="I86" s="103"/>
      <c r="J86" s="97"/>
      <c r="K86" s="98"/>
      <c r="L86" s="8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1:24" ht="15.75" x14ac:dyDescent="0.25">
      <c r="A87" s="245" t="s">
        <v>119</v>
      </c>
      <c r="B87" s="246"/>
      <c r="C87" s="246"/>
      <c r="D87" s="246"/>
      <c r="E87" s="23" t="s">
        <v>111</v>
      </c>
      <c r="F87" s="70"/>
      <c r="G87" s="73">
        <v>1100</v>
      </c>
      <c r="H87" s="105">
        <f t="shared" si="11"/>
        <v>0</v>
      </c>
      <c r="I87" s="103"/>
      <c r="J87" s="97"/>
      <c r="K87" s="98"/>
      <c r="L87" s="8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1:24" ht="15.75" x14ac:dyDescent="0.25">
      <c r="A88" s="245" t="s">
        <v>120</v>
      </c>
      <c r="B88" s="246"/>
      <c r="C88" s="246"/>
      <c r="D88" s="246"/>
      <c r="E88" s="23" t="s">
        <v>111</v>
      </c>
      <c r="F88" s="70"/>
      <c r="G88" s="73">
        <v>2700</v>
      </c>
      <c r="H88" s="105">
        <f t="shared" si="11"/>
        <v>0</v>
      </c>
      <c r="I88" s="106"/>
      <c r="J88" s="97"/>
      <c r="K88" s="98"/>
      <c r="L88" s="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1:24" ht="15.75" x14ac:dyDescent="0.25">
      <c r="A89" s="236" t="s">
        <v>121</v>
      </c>
      <c r="B89" s="237"/>
      <c r="C89" s="237"/>
      <c r="D89" s="238"/>
      <c r="E89" s="164" t="s">
        <v>111</v>
      </c>
      <c r="F89" s="74"/>
      <c r="G89" s="80">
        <v>2500</v>
      </c>
      <c r="H89" s="95">
        <f t="shared" si="11"/>
        <v>0</v>
      </c>
      <c r="I89" s="104"/>
      <c r="J89" s="97"/>
      <c r="K89" s="98"/>
      <c r="L89" s="8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1:24" ht="15.75" x14ac:dyDescent="0.25">
      <c r="A90" s="234" t="s">
        <v>122</v>
      </c>
      <c r="B90" s="235"/>
      <c r="C90" s="235"/>
      <c r="D90" s="235"/>
      <c r="E90" s="164" t="s">
        <v>111</v>
      </c>
      <c r="F90" s="74"/>
      <c r="G90" s="80">
        <v>13373</v>
      </c>
      <c r="H90" s="95">
        <f t="shared" si="11"/>
        <v>0</v>
      </c>
      <c r="I90" s="104"/>
      <c r="J90" s="97"/>
      <c r="K90" s="98"/>
      <c r="L90" s="8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ht="15.75" x14ac:dyDescent="0.25">
      <c r="A91" s="236" t="s">
        <v>123</v>
      </c>
      <c r="B91" s="237"/>
      <c r="C91" s="237"/>
      <c r="D91" s="238"/>
      <c r="E91" s="164" t="s">
        <v>111</v>
      </c>
      <c r="F91" s="74"/>
      <c r="G91" s="80">
        <v>800</v>
      </c>
      <c r="H91" s="95">
        <f t="shared" si="11"/>
        <v>0</v>
      </c>
      <c r="I91" s="104"/>
      <c r="J91" s="97"/>
      <c r="K91" s="98"/>
      <c r="L91" s="8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1:24" ht="15.75" x14ac:dyDescent="0.25">
      <c r="A92" s="245" t="s">
        <v>124</v>
      </c>
      <c r="B92" s="246"/>
      <c r="C92" s="246"/>
      <c r="D92" s="246"/>
      <c r="E92" s="23" t="s">
        <v>111</v>
      </c>
      <c r="F92" s="70"/>
      <c r="G92" s="73">
        <v>1900</v>
      </c>
      <c r="H92" s="105">
        <f t="shared" si="11"/>
        <v>0</v>
      </c>
      <c r="I92" s="106"/>
      <c r="J92" s="97"/>
      <c r="K92" s="98"/>
      <c r="L92" s="107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5.75" x14ac:dyDescent="0.25">
      <c r="A93" s="234" t="s">
        <v>125</v>
      </c>
      <c r="B93" s="235"/>
      <c r="C93" s="235"/>
      <c r="D93" s="235"/>
      <c r="E93" s="164" t="s">
        <v>111</v>
      </c>
      <c r="F93" s="74"/>
      <c r="G93" s="80">
        <v>2000</v>
      </c>
      <c r="H93" s="95">
        <f t="shared" si="11"/>
        <v>0</v>
      </c>
      <c r="I93" s="104"/>
      <c r="J93" s="97"/>
      <c r="K93" s="98"/>
      <c r="L93" s="8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1:24" ht="15.75" x14ac:dyDescent="0.25">
      <c r="A94" s="234" t="s">
        <v>126</v>
      </c>
      <c r="B94" s="235"/>
      <c r="C94" s="235"/>
      <c r="D94" s="235"/>
      <c r="E94" s="164" t="s">
        <v>111</v>
      </c>
      <c r="F94" s="74"/>
      <c r="G94" s="80">
        <v>200</v>
      </c>
      <c r="H94" s="95">
        <f t="shared" si="11"/>
        <v>0</v>
      </c>
      <c r="I94" s="104"/>
      <c r="J94" s="97"/>
      <c r="K94" s="98"/>
      <c r="L94" s="8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ht="15.75" x14ac:dyDescent="0.25">
      <c r="A95" s="236" t="s">
        <v>127</v>
      </c>
      <c r="B95" s="237"/>
      <c r="C95" s="237"/>
      <c r="D95" s="238"/>
      <c r="E95" s="164" t="s">
        <v>111</v>
      </c>
      <c r="F95" s="74"/>
      <c r="G95" s="80">
        <v>1100</v>
      </c>
      <c r="H95" s="95">
        <f t="shared" si="11"/>
        <v>0</v>
      </c>
      <c r="I95" s="104"/>
      <c r="J95" s="97"/>
      <c r="K95" s="98"/>
      <c r="L95" s="8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ht="15.75" x14ac:dyDescent="0.25">
      <c r="A96" s="239" t="s">
        <v>128</v>
      </c>
      <c r="B96" s="239"/>
      <c r="C96" s="239"/>
      <c r="D96" s="239"/>
      <c r="E96" s="108" t="s">
        <v>111</v>
      </c>
      <c r="F96" s="108"/>
      <c r="G96" s="80">
        <v>2200</v>
      </c>
      <c r="H96" s="95">
        <f t="shared" si="11"/>
        <v>0</v>
      </c>
      <c r="I96" s="104"/>
      <c r="J96" s="97"/>
      <c r="K96" s="98"/>
      <c r="L96" s="8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15.75" x14ac:dyDescent="0.25">
      <c r="A97" s="240" t="s">
        <v>129</v>
      </c>
      <c r="B97" s="241"/>
      <c r="C97" s="241"/>
      <c r="D97" s="242"/>
      <c r="E97" s="23" t="s">
        <v>111</v>
      </c>
      <c r="F97" s="160"/>
      <c r="G97" s="73">
        <v>1420</v>
      </c>
      <c r="H97" s="105">
        <f t="shared" si="11"/>
        <v>0</v>
      </c>
      <c r="I97" s="109"/>
      <c r="J97" s="97"/>
      <c r="K97" s="98"/>
      <c r="L97" s="8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1:24" ht="16.5" thickBot="1" x14ac:dyDescent="0.3">
      <c r="A98" s="234" t="s">
        <v>130</v>
      </c>
      <c r="B98" s="235"/>
      <c r="C98" s="235"/>
      <c r="D98" s="235"/>
      <c r="E98" s="164" t="s">
        <v>111</v>
      </c>
      <c r="F98" s="74"/>
      <c r="G98" s="80">
        <v>383.5</v>
      </c>
      <c r="H98" s="95">
        <f t="shared" si="11"/>
        <v>0</v>
      </c>
      <c r="I98" s="110"/>
      <c r="J98" s="111"/>
      <c r="K98" s="112"/>
      <c r="L98" s="8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1:24" ht="16.5" thickBot="1" x14ac:dyDescent="0.3">
      <c r="A99" s="18"/>
      <c r="B99" s="18"/>
      <c r="C99" s="18"/>
      <c r="D99" s="18"/>
      <c r="E99" s="18"/>
      <c r="F99" s="58"/>
      <c r="G99" s="158" t="s">
        <v>131</v>
      </c>
      <c r="H99" s="113">
        <f>SUM(H79:H98)</f>
        <v>0</v>
      </c>
      <c r="I99" s="114"/>
      <c r="J99" s="115"/>
      <c r="K99" s="116"/>
      <c r="L99" s="117"/>
      <c r="M99" s="58"/>
      <c r="N99" s="5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1:24" ht="15.75" x14ac:dyDescent="0.25">
      <c r="A100" s="18"/>
      <c r="B100" s="18"/>
      <c r="C100" s="18"/>
      <c r="D100" s="18"/>
      <c r="E100" s="18"/>
      <c r="F100" s="58"/>
      <c r="G100" s="82"/>
      <c r="H100" s="63"/>
      <c r="I100" s="118"/>
      <c r="J100" s="58"/>
      <c r="K100" s="119"/>
      <c r="L100" s="120"/>
      <c r="M100" s="58"/>
      <c r="N100" s="5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15.75" x14ac:dyDescent="0.25">
      <c r="A101" s="18"/>
      <c r="B101" s="18"/>
      <c r="C101" s="18"/>
      <c r="D101" s="18"/>
      <c r="E101" s="121">
        <v>0</v>
      </c>
      <c r="F101" s="58"/>
      <c r="G101" s="17"/>
      <c r="H101" s="122">
        <f>+E101</f>
        <v>0</v>
      </c>
      <c r="I101" s="228" t="s">
        <v>132</v>
      </c>
      <c r="J101" s="230" t="s">
        <v>133</v>
      </c>
      <c r="K101" s="232"/>
      <c r="L101" s="18"/>
      <c r="M101" s="58"/>
      <c r="N101" s="233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ht="15.75" x14ac:dyDescent="0.25">
      <c r="A102" s="18"/>
      <c r="B102" s="18"/>
      <c r="C102" s="18"/>
      <c r="D102" s="18"/>
      <c r="E102" s="18"/>
      <c r="F102" s="58"/>
      <c r="G102" s="123" t="s">
        <v>134</v>
      </c>
      <c r="H102" s="124">
        <f>H76+H99</f>
        <v>1514.8400000000001</v>
      </c>
      <c r="I102" s="229"/>
      <c r="J102" s="231"/>
      <c r="K102" s="232"/>
      <c r="L102" s="18"/>
      <c r="M102" s="58"/>
      <c r="N102" s="233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1:24" ht="15.75" x14ac:dyDescent="0.25">
      <c r="A103" s="18"/>
      <c r="B103" s="18"/>
      <c r="C103" s="18"/>
      <c r="D103" s="18"/>
      <c r="E103" s="30"/>
      <c r="F103" s="125" t="s">
        <v>135</v>
      </c>
      <c r="G103" s="126">
        <v>0.1</v>
      </c>
      <c r="H103" s="127">
        <f>H102*G103</f>
        <v>151.48400000000001</v>
      </c>
      <c r="I103" s="128">
        <f>(M109*100)/H103</f>
        <v>119.18383987747879</v>
      </c>
      <c r="J103" s="40">
        <f>H103-M109</f>
        <v>-29.06044799999998</v>
      </c>
      <c r="K103" s="36"/>
      <c r="L103" s="36"/>
      <c r="M103" s="36"/>
      <c r="N103" s="129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1:24" ht="15.75" x14ac:dyDescent="0.25">
      <c r="A104" s="18"/>
      <c r="B104" s="18"/>
      <c r="C104" s="18"/>
      <c r="D104" s="18"/>
      <c r="E104" s="30"/>
      <c r="F104" s="130" t="s">
        <v>136</v>
      </c>
      <c r="G104" s="131"/>
      <c r="H104" s="40">
        <f>H102+H103</f>
        <v>1666.3240000000001</v>
      </c>
      <c r="I104" s="60"/>
      <c r="J104" s="132"/>
      <c r="K104" s="22"/>
      <c r="L104" s="22"/>
      <c r="M104" s="58"/>
      <c r="N104" s="1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1:24" ht="15.75" x14ac:dyDescent="0.25">
      <c r="A105" s="30"/>
      <c r="B105" s="18"/>
      <c r="C105" s="18"/>
      <c r="D105" s="18"/>
      <c r="E105" s="30"/>
      <c r="F105" s="23"/>
      <c r="G105" s="130"/>
      <c r="H105" s="40"/>
      <c r="I105" s="133"/>
      <c r="J105" s="133"/>
      <c r="K105" s="134" t="s">
        <v>137</v>
      </c>
      <c r="L105" s="132"/>
      <c r="M105" s="58"/>
      <c r="N105" s="1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1:24" ht="15.75" x14ac:dyDescent="0.25">
      <c r="A106" s="18"/>
      <c r="B106" s="18"/>
      <c r="C106" s="18"/>
      <c r="D106" s="18"/>
      <c r="E106" s="30"/>
      <c r="F106" s="160" t="s">
        <v>138</v>
      </c>
      <c r="G106" s="135">
        <v>0.05</v>
      </c>
      <c r="H106" s="40">
        <f>H104*G106</f>
        <v>83.316200000000009</v>
      </c>
      <c r="I106" s="136">
        <f>H106+[1]Part.2!H84+[1]Part.3!H84+[1]Part.4!H84+[1]part.5!H84+[1]traslado!H66</f>
        <v>293.52824479638008</v>
      </c>
      <c r="J106" s="133" t="s">
        <v>139</v>
      </c>
      <c r="K106" s="60">
        <f>+H17</f>
        <v>0</v>
      </c>
      <c r="L106" s="132"/>
      <c r="M106" s="117"/>
      <c r="N106" s="5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1:24" ht="15.75" x14ac:dyDescent="0.25">
      <c r="A107" s="18"/>
      <c r="B107" s="18"/>
      <c r="C107" s="18"/>
      <c r="D107" s="18"/>
      <c r="E107" s="30"/>
      <c r="F107" s="23" t="s">
        <v>140</v>
      </c>
      <c r="G107" s="130"/>
      <c r="H107" s="40">
        <f>H104+H106</f>
        <v>1749.6402</v>
      </c>
      <c r="I107" s="133"/>
      <c r="J107" s="133" t="s">
        <v>141</v>
      </c>
      <c r="K107" s="60">
        <f>H44</f>
        <v>0</v>
      </c>
      <c r="L107" s="132"/>
      <c r="M107" s="117"/>
      <c r="N107" s="5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15.75" x14ac:dyDescent="0.25">
      <c r="A108" s="18"/>
      <c r="B108" s="18"/>
      <c r="C108" s="18"/>
      <c r="D108" s="18"/>
      <c r="E108" s="30"/>
      <c r="F108" s="160" t="s">
        <v>142</v>
      </c>
      <c r="G108" s="135">
        <v>0.2</v>
      </c>
      <c r="H108" s="40">
        <f>H107*G108</f>
        <v>349.92804000000001</v>
      </c>
      <c r="I108" s="133"/>
      <c r="J108" s="133" t="s">
        <v>143</v>
      </c>
      <c r="K108" s="60">
        <f>H76-H56</f>
        <v>1079.4000000000001</v>
      </c>
      <c r="L108" s="132"/>
      <c r="M108" s="137" t="s">
        <v>144</v>
      </c>
      <c r="N108" s="5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1:24" ht="15.75" x14ac:dyDescent="0.25">
      <c r="A109" s="18"/>
      <c r="B109" s="18"/>
      <c r="C109" s="18"/>
      <c r="D109" s="18"/>
      <c r="E109" s="18"/>
      <c r="F109" s="160" t="s">
        <v>145</v>
      </c>
      <c r="G109" s="125"/>
      <c r="H109" s="138">
        <f>H107+H108</f>
        <v>2099.5682400000001</v>
      </c>
      <c r="I109" s="40"/>
      <c r="J109" s="139" t="s">
        <v>74</v>
      </c>
      <c r="K109" s="60">
        <f>SUM(K106:K108)</f>
        <v>1079.4000000000001</v>
      </c>
      <c r="L109" s="140">
        <f>H109-H108-(H103*0.7)-K109</f>
        <v>564.20139999999992</v>
      </c>
      <c r="M109" s="136">
        <f>0.32*L109</f>
        <v>180.54444799999999</v>
      </c>
      <c r="N109" s="5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1:24" ht="15.75" x14ac:dyDescent="0.25">
      <c r="A110" s="18"/>
      <c r="B110" s="18"/>
      <c r="C110" s="18"/>
      <c r="D110" s="18"/>
      <c r="E110" s="18"/>
      <c r="F110" s="160"/>
      <c r="G110" s="141"/>
      <c r="H110" s="40"/>
      <c r="I110" s="142" t="s">
        <v>146</v>
      </c>
      <c r="J110" s="143">
        <f>H109/H102</f>
        <v>1.3859999999999999</v>
      </c>
      <c r="K110" s="58"/>
      <c r="L110" s="58"/>
      <c r="M110" s="64"/>
      <c r="N110" s="5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1:24" ht="15.75" x14ac:dyDescent="0.25">
      <c r="A111" s="18"/>
      <c r="B111" s="18"/>
      <c r="C111" s="18"/>
      <c r="D111" s="18"/>
      <c r="E111" s="18"/>
      <c r="F111" s="160"/>
      <c r="G111" s="144"/>
      <c r="H111" s="40"/>
      <c r="I111" s="40"/>
      <c r="J111" s="58"/>
      <c r="K111" s="58"/>
      <c r="L111" s="58"/>
      <c r="M111" s="36"/>
      <c r="N111" s="145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</sheetData>
  <mergeCells count="82">
    <mergeCell ref="I101:I102"/>
    <mergeCell ref="J101:J102"/>
    <mergeCell ref="K101:K102"/>
    <mergeCell ref="N101:N102"/>
    <mergeCell ref="A93:D93"/>
    <mergeCell ref="A94:D94"/>
    <mergeCell ref="A95:D95"/>
    <mergeCell ref="A96:D96"/>
    <mergeCell ref="A97:D97"/>
    <mergeCell ref="A98:D98"/>
    <mergeCell ref="A92:D9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80:D80"/>
    <mergeCell ref="A60:D60"/>
    <mergeCell ref="A63:D63"/>
    <mergeCell ref="A64:D64"/>
    <mergeCell ref="A65:D65"/>
    <mergeCell ref="A70:D70"/>
    <mergeCell ref="A73:D73"/>
    <mergeCell ref="A74:D74"/>
    <mergeCell ref="A78:D78"/>
    <mergeCell ref="A79:D79"/>
    <mergeCell ref="J68:K68"/>
    <mergeCell ref="A69:D69"/>
    <mergeCell ref="A52:D52"/>
    <mergeCell ref="A53:D53"/>
    <mergeCell ref="A54:D54"/>
    <mergeCell ref="A55:D55"/>
    <mergeCell ref="A58:D58"/>
    <mergeCell ref="A59:D59"/>
    <mergeCell ref="A51:D51"/>
    <mergeCell ref="A37:D37"/>
    <mergeCell ref="A38:D38"/>
    <mergeCell ref="A39:D39"/>
    <mergeCell ref="A40:D40"/>
    <mergeCell ref="A41:D41"/>
    <mergeCell ref="A42:D42"/>
    <mergeCell ref="A45:D45"/>
    <mergeCell ref="A47:D47"/>
    <mergeCell ref="A48:D48"/>
    <mergeCell ref="A49:D49"/>
    <mergeCell ref="A50:D50"/>
    <mergeCell ref="A36:D36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V19:X19"/>
    <mergeCell ref="A20:D20"/>
    <mergeCell ref="A21:D21"/>
    <mergeCell ref="A22:D22"/>
    <mergeCell ref="A23:D23"/>
    <mergeCell ref="O19:U19"/>
    <mergeCell ref="A24:D24"/>
    <mergeCell ref="A12:D12"/>
    <mergeCell ref="A13:D13"/>
    <mergeCell ref="A14:D14"/>
    <mergeCell ref="A15:D15"/>
    <mergeCell ref="A16:D16"/>
    <mergeCell ref="A11:D11"/>
    <mergeCell ref="A1:H1"/>
    <mergeCell ref="A2:H2"/>
    <mergeCell ref="A8:D8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Cotizacion</vt:lpstr>
      <vt:lpstr> INTERRUPTOR MAT.</vt:lpstr>
      <vt:lpstr>INTERRUPTOR MO </vt:lpstr>
      <vt:lpstr>TERMOGRAFIA </vt:lpstr>
      <vt:lpstr>ANALISIS MO</vt:lpstr>
      <vt:lpstr>TERMOGRAFIA</vt:lpstr>
      <vt:lpstr>CUCHILLAS MO</vt:lpstr>
      <vt:lpstr>TR 15MVA MAT.</vt:lpstr>
      <vt:lpstr>TR 15MVA MO</vt:lpstr>
      <vt:lpstr>AUTOBUS Y ALIMENTOS </vt:lpstr>
      <vt:lpstr>TABLEROS GENERAL MO</vt:lpstr>
      <vt:lpstr>BANCO DE BATERIAS MAT.</vt:lpstr>
      <vt:lpstr>BANCO DE BATERIAS MO</vt:lpstr>
      <vt:lpstr>TIERRAS FISICA MAT.</vt:lpstr>
      <vt:lpstr>TIERRAS FISICAS MO</vt:lpstr>
      <vt:lpstr>PROTECCIONES MAT.</vt:lpstr>
      <vt:lpstr>PROTECCIONES MO</vt:lpstr>
      <vt:lpstr>TERMOGRAFIA MAT.</vt:lpstr>
      <vt:lpstr>TERMOGRAFIAS MO</vt:lpstr>
      <vt:lpstr>TRANSLADO MAT.</vt:lpstr>
      <vt:lpstr>Cotizacion!Área_de_impresión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2025-01-28T13:26:53Z</cp:lastPrinted>
  <dcterms:created xsi:type="dcterms:W3CDTF">2020-02-06T17:11:26Z</dcterms:created>
  <dcterms:modified xsi:type="dcterms:W3CDTF">2026-02-18T22:36:11Z</dcterms:modified>
</cp:coreProperties>
</file>